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EstaPasta_de_trabalho" defaultThemeVersion="124226"/>
  <bookViews>
    <workbookView xWindow="360" yWindow="300" windowWidth="14895" windowHeight="7875"/>
  </bookViews>
  <sheets>
    <sheet name="Parameters" sheetId="4" r:id="rId1"/>
    <sheet name="1stPage" sheetId="9" r:id="rId2"/>
    <sheet name="Report#1" sheetId="6" r:id="rId3"/>
    <sheet name="Grafico" sheetId="3" r:id="rId4"/>
    <sheet name="Report#2" sheetId="5" r:id="rId5"/>
    <sheet name="TABLE" sheetId="7" r:id="rId6"/>
    <sheet name="DATA" sheetId="8" r:id="rId7"/>
    <sheet name="Plan2" sheetId="11" r:id="rId8"/>
  </sheets>
  <definedNames>
    <definedName name="_xlnm._FilterDatabase" localSheetId="2" hidden="1">'Report#1'!$B$31:$L$44</definedName>
    <definedName name="_xlnm._FilterDatabase" localSheetId="4" hidden="1">'Report#2'!$B$22:$AF$34</definedName>
    <definedName name="_xlnm.Print_Area" localSheetId="1">'1stPage'!$C$6:$C$13</definedName>
    <definedName name="_xlnm.Print_Area" localSheetId="0">Parameters!$B$7:$O$50</definedName>
    <definedName name="_xlnm.Print_Area" localSheetId="2">'Report#1'!$B$3:$O$62</definedName>
    <definedName name="_xlnm.Print_Area" localSheetId="4">'Report#2'!$B$3:$AE$54</definedName>
  </definedNames>
  <calcPr calcId="124519" calcMode="manual" refMode="R1C1"/>
</workbook>
</file>

<file path=xl/calcChain.xml><?xml version="1.0" encoding="utf-8"?>
<calcChain xmlns="http://schemas.openxmlformats.org/spreadsheetml/2006/main">
  <c r="R440" i="8"/>
  <c r="Q440"/>
  <c r="P440"/>
  <c r="O440"/>
  <c r="N440"/>
  <c r="M440"/>
  <c r="L440"/>
  <c r="R439"/>
  <c r="Q439"/>
  <c r="P439"/>
  <c r="O439"/>
  <c r="N439"/>
  <c r="M439"/>
  <c r="L439"/>
  <c r="R438"/>
  <c r="Q438"/>
  <c r="P438"/>
  <c r="O438"/>
  <c r="N438"/>
  <c r="M438"/>
  <c r="L438"/>
  <c r="R437"/>
  <c r="Q437"/>
  <c r="P437"/>
  <c r="O437"/>
  <c r="N437"/>
  <c r="M437"/>
  <c r="L437"/>
  <c r="R436"/>
  <c r="Q436"/>
  <c r="P436"/>
  <c r="O436"/>
  <c r="N436"/>
  <c r="M436"/>
  <c r="L436"/>
  <c r="R435"/>
  <c r="Q435"/>
  <c r="P435"/>
  <c r="O435"/>
  <c r="N435"/>
  <c r="M435"/>
  <c r="L435"/>
  <c r="R434"/>
  <c r="Q434"/>
  <c r="P434"/>
  <c r="O434"/>
  <c r="N434"/>
  <c r="M434"/>
  <c r="L434"/>
  <c r="R433"/>
  <c r="Q433"/>
  <c r="P433"/>
  <c r="O433"/>
  <c r="N433"/>
  <c r="M433"/>
  <c r="L433"/>
  <c r="R432"/>
  <c r="Q432"/>
  <c r="P432"/>
  <c r="O432"/>
  <c r="N432"/>
  <c r="M432"/>
  <c r="L432"/>
  <c r="R431"/>
  <c r="Q431"/>
  <c r="P431"/>
  <c r="O431"/>
  <c r="N431"/>
  <c r="M431"/>
  <c r="L431"/>
  <c r="R430"/>
  <c r="Q430"/>
  <c r="P430"/>
  <c r="O430"/>
  <c r="N430"/>
  <c r="M430"/>
  <c r="L430"/>
  <c r="R429"/>
  <c r="Q429"/>
  <c r="P429"/>
  <c r="O429"/>
  <c r="N429"/>
  <c r="M429"/>
  <c r="L429"/>
  <c r="R428"/>
  <c r="Q428"/>
  <c r="P428"/>
  <c r="O428"/>
  <c r="N428"/>
  <c r="M428"/>
  <c r="L428"/>
  <c r="R427"/>
  <c r="Q427"/>
  <c r="P427"/>
  <c r="O427"/>
  <c r="N427"/>
  <c r="M427"/>
  <c r="L427"/>
  <c r="R426"/>
  <c r="Q426"/>
  <c r="P426"/>
  <c r="O426"/>
  <c r="N426"/>
  <c r="M426"/>
  <c r="L426"/>
  <c r="R425"/>
  <c r="Q425"/>
  <c r="P425"/>
  <c r="O425"/>
  <c r="N425"/>
  <c r="M425"/>
  <c r="L425"/>
  <c r="R424"/>
  <c r="Q424"/>
  <c r="P424"/>
  <c r="O424"/>
  <c r="N424"/>
  <c r="M424"/>
  <c r="L424"/>
  <c r="R423"/>
  <c r="Q423"/>
  <c r="P423"/>
  <c r="O423"/>
  <c r="N423"/>
  <c r="M423"/>
  <c r="L423"/>
  <c r="R422"/>
  <c r="Q422"/>
  <c r="P422"/>
  <c r="O422"/>
  <c r="N422"/>
  <c r="M422"/>
  <c r="L422"/>
  <c r="R421"/>
  <c r="Q421"/>
  <c r="P421"/>
  <c r="O421"/>
  <c r="N421"/>
  <c r="M421"/>
  <c r="L421"/>
  <c r="R420"/>
  <c r="Q420"/>
  <c r="P420"/>
  <c r="O420"/>
  <c r="N420"/>
  <c r="M420"/>
  <c r="L420"/>
  <c r="R419"/>
  <c r="Q419"/>
  <c r="P419"/>
  <c r="O419"/>
  <c r="N419"/>
  <c r="M419"/>
  <c r="L419"/>
  <c r="R418"/>
  <c r="Q418"/>
  <c r="P418"/>
  <c r="O418"/>
  <c r="N418"/>
  <c r="M418"/>
  <c r="L418"/>
  <c r="R417"/>
  <c r="Q417"/>
  <c r="P417"/>
  <c r="O417"/>
  <c r="N417"/>
  <c r="M417"/>
  <c r="L417"/>
  <c r="R416"/>
  <c r="Q416"/>
  <c r="P416"/>
  <c r="O416"/>
  <c r="N416"/>
  <c r="M416"/>
  <c r="L416"/>
  <c r="R415"/>
  <c r="Q415"/>
  <c r="P415"/>
  <c r="O415"/>
  <c r="N415"/>
  <c r="M415"/>
  <c r="L415"/>
  <c r="R414"/>
  <c r="Q414"/>
  <c r="P414"/>
  <c r="O414"/>
  <c r="N414"/>
  <c r="M414"/>
  <c r="L414"/>
  <c r="R413"/>
  <c r="Q413"/>
  <c r="P413"/>
  <c r="O413"/>
  <c r="N413"/>
  <c r="M413"/>
  <c r="L413"/>
  <c r="R412"/>
  <c r="Q412"/>
  <c r="P412"/>
  <c r="O412"/>
  <c r="N412"/>
  <c r="M412"/>
  <c r="L412"/>
  <c r="R411"/>
  <c r="Q411"/>
  <c r="P411"/>
  <c r="O411"/>
  <c r="N411"/>
  <c r="M411"/>
  <c r="L411"/>
  <c r="R410"/>
  <c r="Q410"/>
  <c r="P410"/>
  <c r="O410"/>
  <c r="N410"/>
  <c r="M410"/>
  <c r="L410"/>
  <c r="R409"/>
  <c r="Q409"/>
  <c r="P409"/>
  <c r="O409"/>
  <c r="N409"/>
  <c r="M409"/>
  <c r="L409"/>
  <c r="R408"/>
  <c r="Q408"/>
  <c r="P408"/>
  <c r="O408"/>
  <c r="N408"/>
  <c r="M408"/>
  <c r="L408"/>
  <c r="R407"/>
  <c r="Q407"/>
  <c r="P407"/>
  <c r="O407"/>
  <c r="N407"/>
  <c r="M407"/>
  <c r="L407"/>
  <c r="R406"/>
  <c r="Q406"/>
  <c r="P406"/>
  <c r="O406"/>
  <c r="N406"/>
  <c r="M406"/>
  <c r="L406"/>
  <c r="R405"/>
  <c r="Q405"/>
  <c r="P405"/>
  <c r="O405"/>
  <c r="N405"/>
  <c r="M405"/>
  <c r="L405"/>
  <c r="R404"/>
  <c r="Q404"/>
  <c r="P404"/>
  <c r="O404"/>
  <c r="N404"/>
  <c r="M404"/>
  <c r="L404"/>
  <c r="R403"/>
  <c r="Q403"/>
  <c r="P403"/>
  <c r="O403"/>
  <c r="N403"/>
  <c r="M403"/>
  <c r="L403"/>
  <c r="R402"/>
  <c r="Q402"/>
  <c r="P402"/>
  <c r="O402"/>
  <c r="N402"/>
  <c r="M402"/>
  <c r="L402"/>
  <c r="R401"/>
  <c r="Q401"/>
  <c r="P401"/>
  <c r="O401"/>
  <c r="N401"/>
  <c r="M401"/>
  <c r="L401"/>
  <c r="R400"/>
  <c r="Q400"/>
  <c r="P400"/>
  <c r="O400"/>
  <c r="N400"/>
  <c r="M400"/>
  <c r="L400"/>
  <c r="R399"/>
  <c r="Q399"/>
  <c r="P399"/>
  <c r="O399"/>
  <c r="N399"/>
  <c r="M399"/>
  <c r="L399"/>
  <c r="R398"/>
  <c r="Q398"/>
  <c r="P398"/>
  <c r="O398"/>
  <c r="N398"/>
  <c r="M398"/>
  <c r="L398"/>
  <c r="R397"/>
  <c r="Q397"/>
  <c r="P397"/>
  <c r="O397"/>
  <c r="N397"/>
  <c r="M397"/>
  <c r="L397"/>
  <c r="R396"/>
  <c r="Q396"/>
  <c r="P396"/>
  <c r="O396"/>
  <c r="N396"/>
  <c r="M396"/>
  <c r="L396"/>
  <c r="R395"/>
  <c r="Q395"/>
  <c r="P395"/>
  <c r="O395"/>
  <c r="N395"/>
  <c r="M395"/>
  <c r="L395"/>
  <c r="R394"/>
  <c r="Q394"/>
  <c r="P394"/>
  <c r="O394"/>
  <c r="N394"/>
  <c r="M394"/>
  <c r="L394"/>
  <c r="R393"/>
  <c r="Q393"/>
  <c r="P393"/>
  <c r="O393"/>
  <c r="N393"/>
  <c r="M393"/>
  <c r="L393"/>
  <c r="R392"/>
  <c r="Q392"/>
  <c r="P392"/>
  <c r="O392"/>
  <c r="N392"/>
  <c r="M392"/>
  <c r="L392"/>
  <c r="R391"/>
  <c r="Q391"/>
  <c r="P391"/>
  <c r="O391"/>
  <c r="N391"/>
  <c r="M391"/>
  <c r="L391"/>
  <c r="R390"/>
  <c r="Q390"/>
  <c r="P390"/>
  <c r="O390"/>
  <c r="N390"/>
  <c r="M390"/>
  <c r="L390"/>
  <c r="R389"/>
  <c r="Q389"/>
  <c r="P389"/>
  <c r="O389"/>
  <c r="N389"/>
  <c r="M389"/>
  <c r="L389"/>
  <c r="R388"/>
  <c r="Q388"/>
  <c r="P388"/>
  <c r="O388"/>
  <c r="N388"/>
  <c r="M388"/>
  <c r="L388"/>
  <c r="R387"/>
  <c r="Q387"/>
  <c r="P387"/>
  <c r="O387"/>
  <c r="N387"/>
  <c r="M387"/>
  <c r="L387"/>
  <c r="R386"/>
  <c r="Q386"/>
  <c r="P386"/>
  <c r="O386"/>
  <c r="N386"/>
  <c r="M386"/>
  <c r="L386"/>
  <c r="R385"/>
  <c r="Q385"/>
  <c r="P385"/>
  <c r="O385"/>
  <c r="N385"/>
  <c r="M385"/>
  <c r="L385"/>
  <c r="R384"/>
  <c r="Q384"/>
  <c r="P384"/>
  <c r="O384"/>
  <c r="N384"/>
  <c r="M384"/>
  <c r="L384"/>
  <c r="R383"/>
  <c r="Q383"/>
  <c r="P383"/>
  <c r="O383"/>
  <c r="N383"/>
  <c r="M383"/>
  <c r="L383"/>
  <c r="R382"/>
  <c r="Q382"/>
  <c r="P382"/>
  <c r="O382"/>
  <c r="N382"/>
  <c r="M382"/>
  <c r="L382"/>
  <c r="R381"/>
  <c r="Q381"/>
  <c r="P381"/>
  <c r="O381"/>
  <c r="N381"/>
  <c r="M381"/>
  <c r="L381"/>
  <c r="R380"/>
  <c r="Q380"/>
  <c r="P380"/>
  <c r="O380"/>
  <c r="N380"/>
  <c r="M380"/>
  <c r="L380"/>
  <c r="R379"/>
  <c r="Q379"/>
  <c r="P379"/>
  <c r="O379"/>
  <c r="N379"/>
  <c r="M379"/>
  <c r="L379"/>
  <c r="R378"/>
  <c r="Q378"/>
  <c r="P378"/>
  <c r="O378"/>
  <c r="N378"/>
  <c r="M378"/>
  <c r="L378"/>
  <c r="R377"/>
  <c r="Q377"/>
  <c r="P377"/>
  <c r="O377"/>
  <c r="N377"/>
  <c r="M377"/>
  <c r="L377"/>
  <c r="R376"/>
  <c r="Q376"/>
  <c r="P376"/>
  <c r="O376"/>
  <c r="N376"/>
  <c r="M376"/>
  <c r="L376"/>
  <c r="R375"/>
  <c r="Q375"/>
  <c r="P375"/>
  <c r="O375"/>
  <c r="N375"/>
  <c r="M375"/>
  <c r="L375"/>
  <c r="R374"/>
  <c r="Q374"/>
  <c r="P374"/>
  <c r="O374"/>
  <c r="N374"/>
  <c r="M374"/>
  <c r="L374"/>
  <c r="R373"/>
  <c r="Q373"/>
  <c r="P373"/>
  <c r="O373"/>
  <c r="N373"/>
  <c r="M373"/>
  <c r="L373"/>
  <c r="R372"/>
  <c r="Q372"/>
  <c r="P372"/>
  <c r="O372"/>
  <c r="N372"/>
  <c r="M372"/>
  <c r="L372"/>
  <c r="R371"/>
  <c r="Q371"/>
  <c r="P371"/>
  <c r="O371"/>
  <c r="N371"/>
  <c r="M371"/>
  <c r="L371"/>
  <c r="R370"/>
  <c r="Q370"/>
  <c r="P370"/>
  <c r="O370"/>
  <c r="N370"/>
  <c r="M370"/>
  <c r="L370"/>
  <c r="R369"/>
  <c r="Q369"/>
  <c r="P369"/>
  <c r="O369"/>
  <c r="N369"/>
  <c r="M369"/>
  <c r="L369"/>
  <c r="R368"/>
  <c r="Q368"/>
  <c r="P368"/>
  <c r="O368"/>
  <c r="N368"/>
  <c r="M368"/>
  <c r="L368"/>
  <c r="R367"/>
  <c r="Q367"/>
  <c r="P367"/>
  <c r="O367"/>
  <c r="N367"/>
  <c r="M367"/>
  <c r="L367"/>
  <c r="R366"/>
  <c r="Q366"/>
  <c r="P366"/>
  <c r="O366"/>
  <c r="N366"/>
  <c r="M366"/>
  <c r="L366"/>
  <c r="R365"/>
  <c r="Q365"/>
  <c r="P365"/>
  <c r="O365"/>
  <c r="N365"/>
  <c r="M365"/>
  <c r="L365"/>
  <c r="R364"/>
  <c r="Q364"/>
  <c r="P364"/>
  <c r="O364"/>
  <c r="N364"/>
  <c r="M364"/>
  <c r="L364"/>
  <c r="R363"/>
  <c r="Q363"/>
  <c r="P363"/>
  <c r="O363"/>
  <c r="N363"/>
  <c r="M363"/>
  <c r="L363"/>
  <c r="R362"/>
  <c r="Q362"/>
  <c r="P362"/>
  <c r="O362"/>
  <c r="N362"/>
  <c r="M362"/>
  <c r="L362"/>
  <c r="R361"/>
  <c r="Q361"/>
  <c r="P361"/>
  <c r="O361"/>
  <c r="N361"/>
  <c r="M361"/>
  <c r="L361"/>
  <c r="R360"/>
  <c r="Q360"/>
  <c r="P360"/>
  <c r="O360"/>
  <c r="N360"/>
  <c r="M360"/>
  <c r="L360"/>
  <c r="R359"/>
  <c r="Q359"/>
  <c r="P359"/>
  <c r="O359"/>
  <c r="N359"/>
  <c r="M359"/>
  <c r="L359"/>
  <c r="R358"/>
  <c r="Q358"/>
  <c r="P358"/>
  <c r="O358"/>
  <c r="N358"/>
  <c r="M358"/>
  <c r="L358"/>
  <c r="R357"/>
  <c r="Q357"/>
  <c r="P357"/>
  <c r="O357"/>
  <c r="N357"/>
  <c r="M357"/>
  <c r="L357"/>
  <c r="R356"/>
  <c r="Q356"/>
  <c r="P356"/>
  <c r="O356"/>
  <c r="N356"/>
  <c r="M356"/>
  <c r="L356"/>
  <c r="R355"/>
  <c r="Q355"/>
  <c r="P355"/>
  <c r="O355"/>
  <c r="N355"/>
  <c r="M355"/>
  <c r="L355"/>
  <c r="R354"/>
  <c r="Q354"/>
  <c r="P354"/>
  <c r="O354"/>
  <c r="N354"/>
  <c r="M354"/>
  <c r="L354"/>
  <c r="R353"/>
  <c r="Q353"/>
  <c r="P353"/>
  <c r="O353"/>
  <c r="N353"/>
  <c r="M353"/>
  <c r="L353"/>
  <c r="R352"/>
  <c r="Q352"/>
  <c r="P352"/>
  <c r="O352"/>
  <c r="N352"/>
  <c r="M352"/>
  <c r="L352"/>
  <c r="R351"/>
  <c r="Q351"/>
  <c r="P351"/>
  <c r="O351"/>
  <c r="N351"/>
  <c r="M351"/>
  <c r="L351"/>
  <c r="R350"/>
  <c r="Q350"/>
  <c r="P350"/>
  <c r="O350"/>
  <c r="N350"/>
  <c r="M350"/>
  <c r="L350"/>
  <c r="R349"/>
  <c r="Q349"/>
  <c r="P349"/>
  <c r="O349"/>
  <c r="N349"/>
  <c r="M349"/>
  <c r="L349"/>
  <c r="R348"/>
  <c r="Q348"/>
  <c r="P348"/>
  <c r="O348"/>
  <c r="N348"/>
  <c r="M348"/>
  <c r="L348"/>
  <c r="R347"/>
  <c r="Q347"/>
  <c r="P347"/>
  <c r="O347"/>
  <c r="N347"/>
  <c r="M347"/>
  <c r="L347"/>
  <c r="R346"/>
  <c r="Q346"/>
  <c r="P346"/>
  <c r="O346"/>
  <c r="N346"/>
  <c r="M346"/>
  <c r="L346"/>
  <c r="R345"/>
  <c r="Q345"/>
  <c r="P345"/>
  <c r="O345"/>
  <c r="N345"/>
  <c r="M345"/>
  <c r="L345"/>
  <c r="R344"/>
  <c r="Q344"/>
  <c r="P344"/>
  <c r="O344"/>
  <c r="N344"/>
  <c r="M344"/>
  <c r="L344"/>
  <c r="R343"/>
  <c r="Q343"/>
  <c r="P343"/>
  <c r="O343"/>
  <c r="N343"/>
  <c r="M343"/>
  <c r="L343"/>
  <c r="R342"/>
  <c r="Q342"/>
  <c r="P342"/>
  <c r="O342"/>
  <c r="N342"/>
  <c r="M342"/>
  <c r="L342"/>
  <c r="R341"/>
  <c r="Q341"/>
  <c r="P341"/>
  <c r="O341"/>
  <c r="N341"/>
  <c r="M341"/>
  <c r="L341"/>
  <c r="R340"/>
  <c r="Q340"/>
  <c r="P340"/>
  <c r="O340"/>
  <c r="N340"/>
  <c r="M340"/>
  <c r="L340"/>
  <c r="R339"/>
  <c r="Q339"/>
  <c r="P339"/>
  <c r="O339"/>
  <c r="N339"/>
  <c r="M339"/>
  <c r="L339"/>
  <c r="R338"/>
  <c r="Q338"/>
  <c r="P338"/>
  <c r="O338"/>
  <c r="N338"/>
  <c r="M338"/>
  <c r="L338"/>
  <c r="R337"/>
  <c r="Q337"/>
  <c r="P337"/>
  <c r="O337"/>
  <c r="N337"/>
  <c r="M337"/>
  <c r="L337"/>
  <c r="R336"/>
  <c r="Q336"/>
  <c r="P336"/>
  <c r="O336"/>
  <c r="N336"/>
  <c r="M336"/>
  <c r="L336"/>
  <c r="R335"/>
  <c r="Q335"/>
  <c r="P335"/>
  <c r="O335"/>
  <c r="N335"/>
  <c r="M335"/>
  <c r="L335"/>
  <c r="R334"/>
  <c r="Q334"/>
  <c r="P334"/>
  <c r="O334"/>
  <c r="N334"/>
  <c r="M334"/>
  <c r="L334"/>
  <c r="R333"/>
  <c r="Q333"/>
  <c r="P333"/>
  <c r="O333"/>
  <c r="N333"/>
  <c r="M333"/>
  <c r="L333"/>
  <c r="R332"/>
  <c r="Q332"/>
  <c r="P332"/>
  <c r="O332"/>
  <c r="N332"/>
  <c r="M332"/>
  <c r="L332"/>
  <c r="R331"/>
  <c r="Q331"/>
  <c r="P331"/>
  <c r="O331"/>
  <c r="N331"/>
  <c r="M331"/>
  <c r="L331"/>
  <c r="R330"/>
  <c r="Q330"/>
  <c r="P330"/>
  <c r="O330"/>
  <c r="N330"/>
  <c r="M330"/>
  <c r="L330"/>
  <c r="R329"/>
  <c r="Q329"/>
  <c r="P329"/>
  <c r="O329"/>
  <c r="N329"/>
  <c r="M329"/>
  <c r="L329"/>
  <c r="R328"/>
  <c r="Q328"/>
  <c r="P328"/>
  <c r="O328"/>
  <c r="N328"/>
  <c r="M328"/>
  <c r="L328"/>
  <c r="R327"/>
  <c r="Q327"/>
  <c r="P327"/>
  <c r="O327"/>
  <c r="N327"/>
  <c r="M327"/>
  <c r="L327"/>
  <c r="R326"/>
  <c r="Q326"/>
  <c r="P326"/>
  <c r="O326"/>
  <c r="N326"/>
  <c r="M326"/>
  <c r="L326"/>
  <c r="R325"/>
  <c r="Q325"/>
  <c r="P325"/>
  <c r="O325"/>
  <c r="N325"/>
  <c r="M325"/>
  <c r="L325"/>
  <c r="R324"/>
  <c r="Q324"/>
  <c r="P324"/>
  <c r="O324"/>
  <c r="N324"/>
  <c r="M324"/>
  <c r="L324"/>
  <c r="R323"/>
  <c r="Q323"/>
  <c r="P323"/>
  <c r="O323"/>
  <c r="N323"/>
  <c r="M323"/>
  <c r="L323"/>
  <c r="R322"/>
  <c r="Q322"/>
  <c r="P322"/>
  <c r="O322"/>
  <c r="N322"/>
  <c r="M322"/>
  <c r="L322"/>
  <c r="R321"/>
  <c r="Q321"/>
  <c r="P321"/>
  <c r="O321"/>
  <c r="N321"/>
  <c r="M321"/>
  <c r="L321"/>
  <c r="R320"/>
  <c r="Q320"/>
  <c r="P320"/>
  <c r="O320"/>
  <c r="N320"/>
  <c r="M320"/>
  <c r="L320"/>
  <c r="R319"/>
  <c r="Q319"/>
  <c r="P319"/>
  <c r="O319"/>
  <c r="N319"/>
  <c r="M319"/>
  <c r="L319"/>
  <c r="R318"/>
  <c r="Q318"/>
  <c r="P318"/>
  <c r="O318"/>
  <c r="N318"/>
  <c r="M318"/>
  <c r="L318"/>
  <c r="R317"/>
  <c r="Q317"/>
  <c r="P317"/>
  <c r="O317"/>
  <c r="N317"/>
  <c r="M317"/>
  <c r="L317"/>
  <c r="R316"/>
  <c r="Q316"/>
  <c r="P316"/>
  <c r="O316"/>
  <c r="N316"/>
  <c r="M316"/>
  <c r="L316"/>
  <c r="R315"/>
  <c r="Q315"/>
  <c r="P315"/>
  <c r="O315"/>
  <c r="N315"/>
  <c r="M315"/>
  <c r="L315"/>
  <c r="R314"/>
  <c r="Q314"/>
  <c r="P314"/>
  <c r="O314"/>
  <c r="N314"/>
  <c r="M314"/>
  <c r="L314"/>
  <c r="R313"/>
  <c r="Q313"/>
  <c r="P313"/>
  <c r="O313"/>
  <c r="N313"/>
  <c r="M313"/>
  <c r="L313"/>
  <c r="R312"/>
  <c r="Q312"/>
  <c r="P312"/>
  <c r="O312"/>
  <c r="N312"/>
  <c r="M312"/>
  <c r="L312"/>
  <c r="R311"/>
  <c r="Q311"/>
  <c r="P311"/>
  <c r="O311"/>
  <c r="N311"/>
  <c r="M311"/>
  <c r="L311"/>
  <c r="R310"/>
  <c r="Q310"/>
  <c r="P310"/>
  <c r="O310"/>
  <c r="N310"/>
  <c r="M310"/>
  <c r="L310"/>
  <c r="R309"/>
  <c r="Q309"/>
  <c r="P309"/>
  <c r="O309"/>
  <c r="N309"/>
  <c r="M309"/>
  <c r="L309"/>
  <c r="R308"/>
  <c r="Q308"/>
  <c r="P308"/>
  <c r="O308"/>
  <c r="N308"/>
  <c r="M308"/>
  <c r="L308"/>
  <c r="R307"/>
  <c r="Q307"/>
  <c r="P307"/>
  <c r="O307"/>
  <c r="N307"/>
  <c r="M307"/>
  <c r="L307"/>
  <c r="R306"/>
  <c r="Q306"/>
  <c r="P306"/>
  <c r="O306"/>
  <c r="N306"/>
  <c r="M306"/>
  <c r="L306"/>
  <c r="R305"/>
  <c r="Q305"/>
  <c r="P305"/>
  <c r="O305"/>
  <c r="N305"/>
  <c r="M305"/>
  <c r="L305"/>
  <c r="R304"/>
  <c r="Q304"/>
  <c r="P304"/>
  <c r="O304"/>
  <c r="N304"/>
  <c r="M304"/>
  <c r="L304"/>
  <c r="R303"/>
  <c r="Q303"/>
  <c r="P303"/>
  <c r="O303"/>
  <c r="N303"/>
  <c r="M303"/>
  <c r="L303"/>
  <c r="R302"/>
  <c r="Q302"/>
  <c r="P302"/>
  <c r="O302"/>
  <c r="N302"/>
  <c r="M302"/>
  <c r="L302"/>
  <c r="R301"/>
  <c r="Q301"/>
  <c r="P301"/>
  <c r="O301"/>
  <c r="N301"/>
  <c r="M301"/>
  <c r="L301"/>
  <c r="R300"/>
  <c r="Q300"/>
  <c r="P300"/>
  <c r="O300"/>
  <c r="N300"/>
  <c r="M300"/>
  <c r="L300"/>
  <c r="R299"/>
  <c r="Q299"/>
  <c r="P299"/>
  <c r="O299"/>
  <c r="N299"/>
  <c r="M299"/>
  <c r="L299"/>
  <c r="R298"/>
  <c r="Q298"/>
  <c r="P298"/>
  <c r="O298"/>
  <c r="N298"/>
  <c r="M298"/>
  <c r="L298"/>
  <c r="R297"/>
  <c r="Q297"/>
  <c r="P297"/>
  <c r="O297"/>
  <c r="N297"/>
  <c r="M297"/>
  <c r="L297"/>
  <c r="R296"/>
  <c r="Q296"/>
  <c r="P296"/>
  <c r="O296"/>
  <c r="N296"/>
  <c r="M296"/>
  <c r="L296"/>
  <c r="R295"/>
  <c r="Q295"/>
  <c r="P295"/>
  <c r="O295"/>
  <c r="N295"/>
  <c r="M295"/>
  <c r="L295"/>
  <c r="R294"/>
  <c r="Q294"/>
  <c r="P294"/>
  <c r="O294"/>
  <c r="N294"/>
  <c r="M294"/>
  <c r="L294"/>
  <c r="R293"/>
  <c r="Q293"/>
  <c r="P293"/>
  <c r="O293"/>
  <c r="N293"/>
  <c r="M293"/>
  <c r="L293"/>
  <c r="R292"/>
  <c r="Q292"/>
  <c r="P292"/>
  <c r="O292"/>
  <c r="N292"/>
  <c r="M292"/>
  <c r="L292"/>
  <c r="R291"/>
  <c r="Q291"/>
  <c r="P291"/>
  <c r="O291"/>
  <c r="N291"/>
  <c r="M291"/>
  <c r="L291"/>
  <c r="R290"/>
  <c r="Q290"/>
  <c r="P290"/>
  <c r="O290"/>
  <c r="N290"/>
  <c r="M290"/>
  <c r="L290"/>
  <c r="R289"/>
  <c r="Q289"/>
  <c r="P289"/>
  <c r="O289"/>
  <c r="N289"/>
  <c r="M289"/>
  <c r="L289"/>
  <c r="R288"/>
  <c r="Q288"/>
  <c r="P288"/>
  <c r="O288"/>
  <c r="N288"/>
  <c r="M288"/>
  <c r="L288"/>
  <c r="R287"/>
  <c r="Q287"/>
  <c r="P287"/>
  <c r="O287"/>
  <c r="N287"/>
  <c r="M287"/>
  <c r="L287"/>
  <c r="R286"/>
  <c r="Q286"/>
  <c r="P286"/>
  <c r="O286"/>
  <c r="N286"/>
  <c r="M286"/>
  <c r="L286"/>
  <c r="R285"/>
  <c r="Q285"/>
  <c r="P285"/>
  <c r="O285"/>
  <c r="N285"/>
  <c r="M285"/>
  <c r="L285"/>
  <c r="R284"/>
  <c r="Q284"/>
  <c r="P284"/>
  <c r="O284"/>
  <c r="N284"/>
  <c r="M284"/>
  <c r="L284"/>
  <c r="R283"/>
  <c r="Q283"/>
  <c r="P283"/>
  <c r="O283"/>
  <c r="N283"/>
  <c r="M283"/>
  <c r="L283"/>
  <c r="R282"/>
  <c r="Q282"/>
  <c r="P282"/>
  <c r="O282"/>
  <c r="N282"/>
  <c r="M282"/>
  <c r="L282"/>
  <c r="R281"/>
  <c r="Q281"/>
  <c r="P281"/>
  <c r="O281"/>
  <c r="N281"/>
  <c r="M281"/>
  <c r="L281"/>
  <c r="R280"/>
  <c r="Q280"/>
  <c r="P280"/>
  <c r="O280"/>
  <c r="N280"/>
  <c r="M280"/>
  <c r="L280"/>
  <c r="R279"/>
  <c r="Q279"/>
  <c r="P279"/>
  <c r="O279"/>
  <c r="N279"/>
  <c r="M279"/>
  <c r="L279"/>
  <c r="R278"/>
  <c r="Q278"/>
  <c r="P278"/>
  <c r="O278"/>
  <c r="N278"/>
  <c r="M278"/>
  <c r="L278"/>
  <c r="R277"/>
  <c r="Q277"/>
  <c r="P277"/>
  <c r="O277"/>
  <c r="N277"/>
  <c r="M277"/>
  <c r="L277"/>
  <c r="R276"/>
  <c r="Q276"/>
  <c r="P276"/>
  <c r="O276"/>
  <c r="N276"/>
  <c r="M276"/>
  <c r="L276"/>
  <c r="R275"/>
  <c r="Q275"/>
  <c r="P275"/>
  <c r="O275"/>
  <c r="N275"/>
  <c r="M275"/>
  <c r="L275"/>
  <c r="R274"/>
  <c r="Q274"/>
  <c r="P274"/>
  <c r="O274"/>
  <c r="N274"/>
  <c r="M274"/>
  <c r="L274"/>
  <c r="R273"/>
  <c r="Q273"/>
  <c r="P273"/>
  <c r="O273"/>
  <c r="N273"/>
  <c r="M273"/>
  <c r="L273"/>
  <c r="R272"/>
  <c r="Q272"/>
  <c r="P272"/>
  <c r="O272"/>
  <c r="N272"/>
  <c r="M272"/>
  <c r="L272"/>
  <c r="R271"/>
  <c r="Q271"/>
  <c r="P271"/>
  <c r="O271"/>
  <c r="N271"/>
  <c r="M271"/>
  <c r="L271"/>
  <c r="R270"/>
  <c r="Q270"/>
  <c r="P270"/>
  <c r="O270"/>
  <c r="N270"/>
  <c r="M270"/>
  <c r="L270"/>
  <c r="R269"/>
  <c r="Q269"/>
  <c r="P269"/>
  <c r="O269"/>
  <c r="N269"/>
  <c r="M269"/>
  <c r="L269"/>
  <c r="R268"/>
  <c r="Q268"/>
  <c r="P268"/>
  <c r="O268"/>
  <c r="N268"/>
  <c r="M268"/>
  <c r="L268"/>
  <c r="R267"/>
  <c r="Q267"/>
  <c r="P267"/>
  <c r="O267"/>
  <c r="N267"/>
  <c r="M267"/>
  <c r="L267"/>
  <c r="R266"/>
  <c r="Q266"/>
  <c r="P266"/>
  <c r="O266"/>
  <c r="N266"/>
  <c r="M266"/>
  <c r="L266"/>
  <c r="R265"/>
  <c r="Q265"/>
  <c r="P265"/>
  <c r="O265"/>
  <c r="N265"/>
  <c r="M265"/>
  <c r="L265"/>
  <c r="R264"/>
  <c r="Q264"/>
  <c r="P264"/>
  <c r="O264"/>
  <c r="N264"/>
  <c r="M264"/>
  <c r="L264"/>
  <c r="R263"/>
  <c r="Q263"/>
  <c r="P263"/>
  <c r="O263"/>
  <c r="N263"/>
  <c r="M263"/>
  <c r="L263"/>
  <c r="R262"/>
  <c r="Q262"/>
  <c r="P262"/>
  <c r="O262"/>
  <c r="N262"/>
  <c r="M262"/>
  <c r="L262"/>
  <c r="R261"/>
  <c r="Q261"/>
  <c r="P261"/>
  <c r="O261"/>
  <c r="N261"/>
  <c r="M261"/>
  <c r="L261"/>
  <c r="R260"/>
  <c r="Q260"/>
  <c r="P260"/>
  <c r="O260"/>
  <c r="N260"/>
  <c r="M260"/>
  <c r="L260"/>
  <c r="R259"/>
  <c r="Q259"/>
  <c r="P259"/>
  <c r="O259"/>
  <c r="N259"/>
  <c r="M259"/>
  <c r="L259"/>
  <c r="R258"/>
  <c r="Q258"/>
  <c r="P258"/>
  <c r="O258"/>
  <c r="N258"/>
  <c r="M258"/>
  <c r="L258"/>
  <c r="R257"/>
  <c r="Q257"/>
  <c r="P257"/>
  <c r="O257"/>
  <c r="N257"/>
  <c r="M257"/>
  <c r="L257"/>
  <c r="R256"/>
  <c r="Q256"/>
  <c r="P256"/>
  <c r="O256"/>
  <c r="N256"/>
  <c r="M256"/>
  <c r="L256"/>
  <c r="R255"/>
  <c r="Q255"/>
  <c r="P255"/>
  <c r="O255"/>
  <c r="N255"/>
  <c r="M255"/>
  <c r="L255"/>
  <c r="R254"/>
  <c r="Q254"/>
  <c r="P254"/>
  <c r="O254"/>
  <c r="N254"/>
  <c r="M254"/>
  <c r="L254"/>
  <c r="R253"/>
  <c r="Q253"/>
  <c r="P253"/>
  <c r="O253"/>
  <c r="N253"/>
  <c r="M253"/>
  <c r="L253"/>
  <c r="R252"/>
  <c r="Q252"/>
  <c r="P252"/>
  <c r="O252"/>
  <c r="N252"/>
  <c r="M252"/>
  <c r="L252"/>
  <c r="R251"/>
  <c r="Q251"/>
  <c r="P251"/>
  <c r="O251"/>
  <c r="N251"/>
  <c r="M251"/>
  <c r="L251"/>
  <c r="R250"/>
  <c r="Q250"/>
  <c r="P250"/>
  <c r="O250"/>
  <c r="N250"/>
  <c r="M250"/>
  <c r="L250"/>
  <c r="R249"/>
  <c r="Q249"/>
  <c r="P249"/>
  <c r="O249"/>
  <c r="N249"/>
  <c r="M249"/>
  <c r="L249"/>
  <c r="R248"/>
  <c r="Q248"/>
  <c r="P248"/>
  <c r="O248"/>
  <c r="N248"/>
  <c r="M248"/>
  <c r="L248"/>
  <c r="R247"/>
  <c r="Q247"/>
  <c r="P247"/>
  <c r="O247"/>
  <c r="N247"/>
  <c r="M247"/>
  <c r="L247"/>
  <c r="R246"/>
  <c r="Q246"/>
  <c r="P246"/>
  <c r="O246"/>
  <c r="N246"/>
  <c r="M246"/>
  <c r="L246"/>
  <c r="R245"/>
  <c r="Q245"/>
  <c r="P245"/>
  <c r="O245"/>
  <c r="N245"/>
  <c r="M245"/>
  <c r="L245"/>
  <c r="R244"/>
  <c r="Q244"/>
  <c r="P244"/>
  <c r="O244"/>
  <c r="N244"/>
  <c r="M244"/>
  <c r="L244"/>
  <c r="R243"/>
  <c r="Q243"/>
  <c r="P243"/>
  <c r="O243"/>
  <c r="N243"/>
  <c r="M243"/>
  <c r="L243"/>
  <c r="R242"/>
  <c r="Q242"/>
  <c r="P242"/>
  <c r="O242"/>
  <c r="N242"/>
  <c r="M242"/>
  <c r="L242"/>
  <c r="R241"/>
  <c r="Q241"/>
  <c r="P241"/>
  <c r="O241"/>
  <c r="N241"/>
  <c r="M241"/>
  <c r="L241"/>
  <c r="R240"/>
  <c r="Q240"/>
  <c r="P240"/>
  <c r="O240"/>
  <c r="N240"/>
  <c r="M240"/>
  <c r="L240"/>
  <c r="R239"/>
  <c r="Q239"/>
  <c r="P239"/>
  <c r="O239"/>
  <c r="N239"/>
  <c r="M239"/>
  <c r="L239"/>
  <c r="R238"/>
  <c r="Q238"/>
  <c r="P238"/>
  <c r="O238"/>
  <c r="N238"/>
  <c r="M238"/>
  <c r="L238"/>
  <c r="R237"/>
  <c r="Q237"/>
  <c r="P237"/>
  <c r="O237"/>
  <c r="N237"/>
  <c r="M237"/>
  <c r="L237"/>
  <c r="R236"/>
  <c r="Q236"/>
  <c r="P236"/>
  <c r="O236"/>
  <c r="N236"/>
  <c r="M236"/>
  <c r="L236"/>
  <c r="R235"/>
  <c r="Q235"/>
  <c r="P235"/>
  <c r="O235"/>
  <c r="N235"/>
  <c r="M235"/>
  <c r="L235"/>
  <c r="R234"/>
  <c r="Q234"/>
  <c r="P234"/>
  <c r="O234"/>
  <c r="N234"/>
  <c r="M234"/>
  <c r="L234"/>
  <c r="R233"/>
  <c r="Q233"/>
  <c r="P233"/>
  <c r="O233"/>
  <c r="N233"/>
  <c r="M233"/>
  <c r="L233"/>
  <c r="R232"/>
  <c r="Q232"/>
  <c r="P232"/>
  <c r="O232"/>
  <c r="N232"/>
  <c r="M232"/>
  <c r="L232"/>
  <c r="R231"/>
  <c r="Q231"/>
  <c r="P231"/>
  <c r="O231"/>
  <c r="N231"/>
  <c r="M231"/>
  <c r="L231"/>
  <c r="R230"/>
  <c r="Q230"/>
  <c r="P230"/>
  <c r="O230"/>
  <c r="N230"/>
  <c r="M230"/>
  <c r="L230"/>
  <c r="R229"/>
  <c r="Q229"/>
  <c r="P229"/>
  <c r="O229"/>
  <c r="N229"/>
  <c r="M229"/>
  <c r="L229"/>
  <c r="R228"/>
  <c r="Q228"/>
  <c r="P228"/>
  <c r="O228"/>
  <c r="N228"/>
  <c r="M228"/>
  <c r="L228"/>
  <c r="R227"/>
  <c r="Q227"/>
  <c r="P227"/>
  <c r="O227"/>
  <c r="N227"/>
  <c r="M227"/>
  <c r="L227"/>
  <c r="R226"/>
  <c r="Q226"/>
  <c r="P226"/>
  <c r="O226"/>
  <c r="N226"/>
  <c r="M226"/>
  <c r="L226"/>
  <c r="R225"/>
  <c r="Q225"/>
  <c r="P225"/>
  <c r="O225"/>
  <c r="N225"/>
  <c r="M225"/>
  <c r="L225"/>
  <c r="R224"/>
  <c r="Q224"/>
  <c r="P224"/>
  <c r="O224"/>
  <c r="N224"/>
  <c r="M224"/>
  <c r="L224"/>
  <c r="R223"/>
  <c r="Q223"/>
  <c r="P223"/>
  <c r="O223"/>
  <c r="N223"/>
  <c r="M223"/>
  <c r="L223"/>
  <c r="R222"/>
  <c r="Q222"/>
  <c r="P222"/>
  <c r="O222"/>
  <c r="N222"/>
  <c r="M222"/>
  <c r="L222"/>
  <c r="R221"/>
  <c r="Q221"/>
  <c r="P221"/>
  <c r="O221"/>
  <c r="N221"/>
  <c r="M221"/>
  <c r="L221"/>
  <c r="R220"/>
  <c r="Q220"/>
  <c r="P220"/>
  <c r="O220"/>
  <c r="N220"/>
  <c r="M220"/>
  <c r="L220"/>
  <c r="R219"/>
  <c r="Q219"/>
  <c r="P219"/>
  <c r="O219"/>
  <c r="N219"/>
  <c r="M219"/>
  <c r="L219"/>
  <c r="R218"/>
  <c r="Q218"/>
  <c r="P218"/>
  <c r="O218"/>
  <c r="N218"/>
  <c r="M218"/>
  <c r="L218"/>
  <c r="R217"/>
  <c r="Q217"/>
  <c r="P217"/>
  <c r="O217"/>
  <c r="N217"/>
  <c r="M217"/>
  <c r="L217"/>
  <c r="R216"/>
  <c r="Q216"/>
  <c r="P216"/>
  <c r="O216"/>
  <c r="N216"/>
  <c r="M216"/>
  <c r="L216"/>
  <c r="R215"/>
  <c r="Q215"/>
  <c r="P215"/>
  <c r="O215"/>
  <c r="N215"/>
  <c r="M215"/>
  <c r="L215"/>
  <c r="R214"/>
  <c r="Q214"/>
  <c r="P214"/>
  <c r="O214"/>
  <c r="N214"/>
  <c r="M214"/>
  <c r="L214"/>
  <c r="R213"/>
  <c r="Q213"/>
  <c r="P213"/>
  <c r="O213"/>
  <c r="N213"/>
  <c r="M213"/>
  <c r="L213"/>
  <c r="R212"/>
  <c r="Q212"/>
  <c r="P212"/>
  <c r="O212"/>
  <c r="N212"/>
  <c r="M212"/>
  <c r="L212"/>
  <c r="R211"/>
  <c r="Q211"/>
  <c r="P211"/>
  <c r="O211"/>
  <c r="N211"/>
  <c r="M211"/>
  <c r="L211"/>
  <c r="R210"/>
  <c r="Q210"/>
  <c r="P210"/>
  <c r="O210"/>
  <c r="N210"/>
  <c r="M210"/>
  <c r="L210"/>
  <c r="R209"/>
  <c r="Q209"/>
  <c r="P209"/>
  <c r="O209"/>
  <c r="N209"/>
  <c r="M209"/>
  <c r="L209"/>
  <c r="R208"/>
  <c r="Q208"/>
  <c r="P208"/>
  <c r="O208"/>
  <c r="N208"/>
  <c r="M208"/>
  <c r="L208"/>
  <c r="R207"/>
  <c r="Q207"/>
  <c r="P207"/>
  <c r="O207"/>
  <c r="N207"/>
  <c r="M207"/>
  <c r="L207"/>
  <c r="R206"/>
  <c r="Q206"/>
  <c r="P206"/>
  <c r="O206"/>
  <c r="N206"/>
  <c r="M206"/>
  <c r="L206"/>
  <c r="R205"/>
  <c r="Q205"/>
  <c r="P205"/>
  <c r="O205"/>
  <c r="N205"/>
  <c r="M205"/>
  <c r="L205"/>
  <c r="R204"/>
  <c r="Q204"/>
  <c r="P204"/>
  <c r="O204"/>
  <c r="N204"/>
  <c r="M204"/>
  <c r="L204"/>
  <c r="R203"/>
  <c r="Q203"/>
  <c r="P203"/>
  <c r="O203"/>
  <c r="N203"/>
  <c r="M203"/>
  <c r="L203"/>
  <c r="R202"/>
  <c r="Q202"/>
  <c r="P202"/>
  <c r="O202"/>
  <c r="N202"/>
  <c r="M202"/>
  <c r="L202"/>
  <c r="R201"/>
  <c r="Q201"/>
  <c r="P201"/>
  <c r="O201"/>
  <c r="N201"/>
  <c r="M201"/>
  <c r="L201"/>
  <c r="R200"/>
  <c r="Q200"/>
  <c r="P200"/>
  <c r="O200"/>
  <c r="N200"/>
  <c r="M200"/>
  <c r="L200"/>
  <c r="R199"/>
  <c r="Q199"/>
  <c r="P199"/>
  <c r="O199"/>
  <c r="N199"/>
  <c r="M199"/>
  <c r="L199"/>
  <c r="R198"/>
  <c r="Q198"/>
  <c r="P198"/>
  <c r="O198"/>
  <c r="N198"/>
  <c r="M198"/>
  <c r="L198"/>
  <c r="R197"/>
  <c r="Q197"/>
  <c r="P197"/>
  <c r="O197"/>
  <c r="N197"/>
  <c r="M197"/>
  <c r="L197"/>
  <c r="R196"/>
  <c r="Q196"/>
  <c r="P196"/>
  <c r="O196"/>
  <c r="N196"/>
  <c r="M196"/>
  <c r="L196"/>
  <c r="R195"/>
  <c r="Q195"/>
  <c r="P195"/>
  <c r="O195"/>
  <c r="N195"/>
  <c r="M195"/>
  <c r="L195"/>
  <c r="R194"/>
  <c r="Q194"/>
  <c r="P194"/>
  <c r="O194"/>
  <c r="N194"/>
  <c r="M194"/>
  <c r="L194"/>
  <c r="R193"/>
  <c r="Q193"/>
  <c r="P193"/>
  <c r="O193"/>
  <c r="N193"/>
  <c r="M193"/>
  <c r="L193"/>
  <c r="R192"/>
  <c r="Q192"/>
  <c r="P192"/>
  <c r="O192"/>
  <c r="N192"/>
  <c r="M192"/>
  <c r="L192"/>
  <c r="R191"/>
  <c r="Q191"/>
  <c r="P191"/>
  <c r="O191"/>
  <c r="N191"/>
  <c r="M191"/>
  <c r="L191"/>
  <c r="R190"/>
  <c r="Q190"/>
  <c r="P190"/>
  <c r="O190"/>
  <c r="N190"/>
  <c r="M190"/>
  <c r="L190"/>
  <c r="R189"/>
  <c r="Q189"/>
  <c r="P189"/>
  <c r="O189"/>
  <c r="N189"/>
  <c r="M189"/>
  <c r="L189"/>
  <c r="R188"/>
  <c r="Q188"/>
  <c r="P188"/>
  <c r="O188"/>
  <c r="N188"/>
  <c r="M188"/>
  <c r="L188"/>
  <c r="R187"/>
  <c r="Q187"/>
  <c r="P187"/>
  <c r="O187"/>
  <c r="N187"/>
  <c r="M187"/>
  <c r="L187"/>
  <c r="R186"/>
  <c r="Q186"/>
  <c r="P186"/>
  <c r="O186"/>
  <c r="N186"/>
  <c r="M186"/>
  <c r="L186"/>
  <c r="R185"/>
  <c r="Q185"/>
  <c r="P185"/>
  <c r="O185"/>
  <c r="N185"/>
  <c r="M185"/>
  <c r="L185"/>
  <c r="R184"/>
  <c r="Q184"/>
  <c r="P184"/>
  <c r="O184"/>
  <c r="N184"/>
  <c r="M184"/>
  <c r="L184"/>
  <c r="R183"/>
  <c r="Q183"/>
  <c r="P183"/>
  <c r="O183"/>
  <c r="N183"/>
  <c r="M183"/>
  <c r="L183"/>
  <c r="R182"/>
  <c r="Q182"/>
  <c r="P182"/>
  <c r="O182"/>
  <c r="N182"/>
  <c r="M182"/>
  <c r="L182"/>
  <c r="R181"/>
  <c r="Q181"/>
  <c r="P181"/>
  <c r="O181"/>
  <c r="N181"/>
  <c r="M181"/>
  <c r="L181"/>
  <c r="R180"/>
  <c r="Q180"/>
  <c r="P180"/>
  <c r="O180"/>
  <c r="N180"/>
  <c r="M180"/>
  <c r="L180"/>
  <c r="R179"/>
  <c r="Q179"/>
  <c r="P179"/>
  <c r="O179"/>
  <c r="N179"/>
  <c r="M179"/>
  <c r="L179"/>
  <c r="R178"/>
  <c r="Q178"/>
  <c r="P178"/>
  <c r="O178"/>
  <c r="N178"/>
  <c r="M178"/>
  <c r="L178"/>
  <c r="R177"/>
  <c r="Q177"/>
  <c r="P177"/>
  <c r="O177"/>
  <c r="N177"/>
  <c r="M177"/>
  <c r="L177"/>
  <c r="R176"/>
  <c r="Q176"/>
  <c r="P176"/>
  <c r="O176"/>
  <c r="N176"/>
  <c r="M176"/>
  <c r="L176"/>
  <c r="R175"/>
  <c r="Q175"/>
  <c r="P175"/>
  <c r="O175"/>
  <c r="N175"/>
  <c r="M175"/>
  <c r="L175"/>
  <c r="R174"/>
  <c r="Q174"/>
  <c r="P174"/>
  <c r="O174"/>
  <c r="N174"/>
  <c r="M174"/>
  <c r="L174"/>
  <c r="R173"/>
  <c r="Q173"/>
  <c r="P173"/>
  <c r="O173"/>
  <c r="N173"/>
  <c r="M173"/>
  <c r="L173"/>
  <c r="R172"/>
  <c r="Q172"/>
  <c r="P172"/>
  <c r="O172"/>
  <c r="N172"/>
  <c r="M172"/>
  <c r="L172"/>
  <c r="R171"/>
  <c r="Q171"/>
  <c r="P171"/>
  <c r="O171"/>
  <c r="N171"/>
  <c r="M171"/>
  <c r="L171"/>
  <c r="R170"/>
  <c r="Q170"/>
  <c r="P170"/>
  <c r="O170"/>
  <c r="N170"/>
  <c r="M170"/>
  <c r="L170"/>
  <c r="R169"/>
  <c r="Q169"/>
  <c r="P169"/>
  <c r="O169"/>
  <c r="N169"/>
  <c r="M169"/>
  <c r="L169"/>
  <c r="R168"/>
  <c r="Q168"/>
  <c r="P168"/>
  <c r="O168"/>
  <c r="N168"/>
  <c r="M168"/>
  <c r="L168"/>
  <c r="R167"/>
  <c r="Q167"/>
  <c r="P167"/>
  <c r="O167"/>
  <c r="N167"/>
  <c r="M167"/>
  <c r="L167"/>
  <c r="R166"/>
  <c r="Q166"/>
  <c r="P166"/>
  <c r="O166"/>
  <c r="N166"/>
  <c r="M166"/>
  <c r="L166"/>
  <c r="R165"/>
  <c r="Q165"/>
  <c r="P165"/>
  <c r="O165"/>
  <c r="N165"/>
  <c r="M165"/>
  <c r="L165"/>
  <c r="R164"/>
  <c r="Q164"/>
  <c r="P164"/>
  <c r="O164"/>
  <c r="N164"/>
  <c r="M164"/>
  <c r="L164"/>
  <c r="R163"/>
  <c r="Q163"/>
  <c r="P163"/>
  <c r="O163"/>
  <c r="N163"/>
  <c r="M163"/>
  <c r="L163"/>
  <c r="R162"/>
  <c r="Q162"/>
  <c r="P162"/>
  <c r="O162"/>
  <c r="N162"/>
  <c r="M162"/>
  <c r="L162"/>
  <c r="R161"/>
  <c r="Q161"/>
  <c r="P161"/>
  <c r="O161"/>
  <c r="N161"/>
  <c r="M161"/>
  <c r="L161"/>
  <c r="R160"/>
  <c r="Q160"/>
  <c r="P160"/>
  <c r="O160"/>
  <c r="N160"/>
  <c r="M160"/>
  <c r="L160"/>
  <c r="R159"/>
  <c r="Q159"/>
  <c r="P159"/>
  <c r="O159"/>
  <c r="N159"/>
  <c r="M159"/>
  <c r="L159"/>
  <c r="R158"/>
  <c r="Q158"/>
  <c r="P158"/>
  <c r="O158"/>
  <c r="N158"/>
  <c r="M158"/>
  <c r="L158"/>
  <c r="R157"/>
  <c r="Q157"/>
  <c r="P157"/>
  <c r="O157"/>
  <c r="N157"/>
  <c r="M157"/>
  <c r="L157"/>
  <c r="R156"/>
  <c r="Q156"/>
  <c r="P156"/>
  <c r="O156"/>
  <c r="N156"/>
  <c r="M156"/>
  <c r="L156"/>
  <c r="R155"/>
  <c r="Q155"/>
  <c r="P155"/>
  <c r="O155"/>
  <c r="N155"/>
  <c r="M155"/>
  <c r="L155"/>
  <c r="R154"/>
  <c r="Q154"/>
  <c r="P154"/>
  <c r="O154"/>
  <c r="N154"/>
  <c r="M154"/>
  <c r="L154"/>
  <c r="R153"/>
  <c r="Q153"/>
  <c r="P153"/>
  <c r="O153"/>
  <c r="N153"/>
  <c r="M153"/>
  <c r="L153"/>
  <c r="R152"/>
  <c r="Q152"/>
  <c r="P152"/>
  <c r="O152"/>
  <c r="N152"/>
  <c r="M152"/>
  <c r="L152"/>
  <c r="R151"/>
  <c r="Q151"/>
  <c r="P151"/>
  <c r="O151"/>
  <c r="N151"/>
  <c r="M151"/>
  <c r="L151"/>
  <c r="R150"/>
  <c r="Q150"/>
  <c r="P150"/>
  <c r="O150"/>
  <c r="N150"/>
  <c r="M150"/>
  <c r="L150"/>
  <c r="R149"/>
  <c r="Q149"/>
  <c r="P149"/>
  <c r="O149"/>
  <c r="N149"/>
  <c r="M149"/>
  <c r="L149"/>
  <c r="R148"/>
  <c r="Q148"/>
  <c r="P148"/>
  <c r="O148"/>
  <c r="N148"/>
  <c r="M148"/>
  <c r="L148"/>
  <c r="R147"/>
  <c r="Q147"/>
  <c r="P147"/>
  <c r="O147"/>
  <c r="N147"/>
  <c r="M147"/>
  <c r="L147"/>
  <c r="R146"/>
  <c r="Q146"/>
  <c r="P146"/>
  <c r="O146"/>
  <c r="N146"/>
  <c r="M146"/>
  <c r="L146"/>
  <c r="R145"/>
  <c r="Q145"/>
  <c r="P145"/>
  <c r="O145"/>
  <c r="N145"/>
  <c r="M145"/>
  <c r="L145"/>
  <c r="R144"/>
  <c r="Q144"/>
  <c r="P144"/>
  <c r="O144"/>
  <c r="N144"/>
  <c r="M144"/>
  <c r="L144"/>
  <c r="R143"/>
  <c r="Q143"/>
  <c r="P143"/>
  <c r="O143"/>
  <c r="N143"/>
  <c r="M143"/>
  <c r="L143"/>
  <c r="R142"/>
  <c r="Q142"/>
  <c r="P142"/>
  <c r="O142"/>
  <c r="N142"/>
  <c r="M142"/>
  <c r="L142"/>
  <c r="R141"/>
  <c r="Q141"/>
  <c r="P141"/>
  <c r="O141"/>
  <c r="N141"/>
  <c r="M141"/>
  <c r="L141"/>
  <c r="R140"/>
  <c r="Q140"/>
  <c r="P140"/>
  <c r="O140"/>
  <c r="N140"/>
  <c r="M140"/>
  <c r="L140"/>
  <c r="R139"/>
  <c r="Q139"/>
  <c r="P139"/>
  <c r="O139"/>
  <c r="N139"/>
  <c r="M139"/>
  <c r="L139"/>
  <c r="R138"/>
  <c r="Q138"/>
  <c r="P138"/>
  <c r="O138"/>
  <c r="N138"/>
  <c r="M138"/>
  <c r="L138"/>
  <c r="R137"/>
  <c r="Q137"/>
  <c r="P137"/>
  <c r="O137"/>
  <c r="N137"/>
  <c r="M137"/>
  <c r="L137"/>
  <c r="R136"/>
  <c r="Q136"/>
  <c r="P136"/>
  <c r="O136"/>
  <c r="N136"/>
  <c r="M136"/>
  <c r="L136"/>
  <c r="R135"/>
  <c r="Q135"/>
  <c r="P135"/>
  <c r="O135"/>
  <c r="N135"/>
  <c r="M135"/>
  <c r="L135"/>
  <c r="R134"/>
  <c r="Q134"/>
  <c r="P134"/>
  <c r="O134"/>
  <c r="N134"/>
  <c r="M134"/>
  <c r="L134"/>
  <c r="R133"/>
  <c r="Q133"/>
  <c r="P133"/>
  <c r="O133"/>
  <c r="N133"/>
  <c r="M133"/>
  <c r="L133"/>
  <c r="R132"/>
  <c r="Q132"/>
  <c r="P132"/>
  <c r="O132"/>
  <c r="N132"/>
  <c r="M132"/>
  <c r="L132"/>
  <c r="R131"/>
  <c r="Q131"/>
  <c r="P131"/>
  <c r="O131"/>
  <c r="N131"/>
  <c r="M131"/>
  <c r="L131"/>
  <c r="R130"/>
  <c r="Q130"/>
  <c r="P130"/>
  <c r="O130"/>
  <c r="N130"/>
  <c r="M130"/>
  <c r="L130"/>
  <c r="R129"/>
  <c r="Q129"/>
  <c r="P129"/>
  <c r="O129"/>
  <c r="N129"/>
  <c r="M129"/>
  <c r="L129"/>
  <c r="R128"/>
  <c r="Q128"/>
  <c r="P128"/>
  <c r="O128"/>
  <c r="N128"/>
  <c r="M128"/>
  <c r="L128"/>
  <c r="R127"/>
  <c r="Q127"/>
  <c r="P127"/>
  <c r="O127"/>
  <c r="N127"/>
  <c r="M127"/>
  <c r="L127"/>
  <c r="R126"/>
  <c r="Q126"/>
  <c r="P126"/>
  <c r="O126"/>
  <c r="N126"/>
  <c r="M126"/>
  <c r="L126"/>
  <c r="R125"/>
  <c r="Q125"/>
  <c r="P125"/>
  <c r="O125"/>
  <c r="N125"/>
  <c r="M125"/>
  <c r="L125"/>
  <c r="R124"/>
  <c r="Q124"/>
  <c r="P124"/>
  <c r="O124"/>
  <c r="N124"/>
  <c r="M124"/>
  <c r="L124"/>
  <c r="R123"/>
  <c r="Q123"/>
  <c r="P123"/>
  <c r="O123"/>
  <c r="N123"/>
  <c r="M123"/>
  <c r="L123"/>
  <c r="R122"/>
  <c r="Q122"/>
  <c r="P122"/>
  <c r="O122"/>
  <c r="N122"/>
  <c r="M122"/>
  <c r="L122"/>
  <c r="R121"/>
  <c r="Q121"/>
  <c r="P121"/>
  <c r="O121"/>
  <c r="N121"/>
  <c r="M121"/>
  <c r="L121"/>
  <c r="R120"/>
  <c r="Q120"/>
  <c r="P120"/>
  <c r="O120"/>
  <c r="N120"/>
  <c r="M120"/>
  <c r="L120"/>
  <c r="R119"/>
  <c r="Q119"/>
  <c r="P119"/>
  <c r="O119"/>
  <c r="N119"/>
  <c r="M119"/>
  <c r="L119"/>
  <c r="R118"/>
  <c r="Q118"/>
  <c r="P118"/>
  <c r="O118"/>
  <c r="N118"/>
  <c r="M118"/>
  <c r="L118"/>
  <c r="R117"/>
  <c r="Q117"/>
  <c r="P117"/>
  <c r="O117"/>
  <c r="N117"/>
  <c r="M117"/>
  <c r="L117"/>
  <c r="R116"/>
  <c r="Q116"/>
  <c r="P116"/>
  <c r="O116"/>
  <c r="N116"/>
  <c r="M116"/>
  <c r="L116"/>
  <c r="R115"/>
  <c r="Q115"/>
  <c r="P115"/>
  <c r="O115"/>
  <c r="N115"/>
  <c r="M115"/>
  <c r="L115"/>
  <c r="R114"/>
  <c r="Q114"/>
  <c r="P114"/>
  <c r="O114"/>
  <c r="N114"/>
  <c r="M114"/>
  <c r="L114"/>
  <c r="R113"/>
  <c r="Q113"/>
  <c r="P113"/>
  <c r="O113"/>
  <c r="N113"/>
  <c r="M113"/>
  <c r="L113"/>
  <c r="R112"/>
  <c r="Q112"/>
  <c r="P112"/>
  <c r="O112"/>
  <c r="N112"/>
  <c r="M112"/>
  <c r="L112"/>
  <c r="R111"/>
  <c r="Q111"/>
  <c r="P111"/>
  <c r="O111"/>
  <c r="N111"/>
  <c r="M111"/>
  <c r="L111"/>
  <c r="R110"/>
  <c r="Q110"/>
  <c r="P110"/>
  <c r="O110"/>
  <c r="N110"/>
  <c r="M110"/>
  <c r="L110"/>
  <c r="R109"/>
  <c r="Q109"/>
  <c r="P109"/>
  <c r="O109"/>
  <c r="N109"/>
  <c r="M109"/>
  <c r="L109"/>
  <c r="R108"/>
  <c r="Q108"/>
  <c r="P108"/>
  <c r="O108"/>
  <c r="N108"/>
  <c r="M108"/>
  <c r="L108"/>
  <c r="R107"/>
  <c r="Q107"/>
  <c r="P107"/>
  <c r="O107"/>
  <c r="N107"/>
  <c r="M107"/>
  <c r="L107"/>
  <c r="R106"/>
  <c r="Q106"/>
  <c r="P106"/>
  <c r="O106"/>
  <c r="N106"/>
  <c r="M106"/>
  <c r="L106"/>
  <c r="R105"/>
  <c r="Q105"/>
  <c r="P105"/>
  <c r="O105"/>
  <c r="N105"/>
  <c r="M105"/>
  <c r="L105"/>
  <c r="R104"/>
  <c r="Q104"/>
  <c r="P104"/>
  <c r="O104"/>
  <c r="N104"/>
  <c r="M104"/>
  <c r="L104"/>
  <c r="R103"/>
  <c r="Q103"/>
  <c r="P103"/>
  <c r="O103"/>
  <c r="N103"/>
  <c r="M103"/>
  <c r="L103"/>
  <c r="R102"/>
  <c r="Q102"/>
  <c r="P102"/>
  <c r="O102"/>
  <c r="N102"/>
  <c r="M102"/>
  <c r="L102"/>
  <c r="R101"/>
  <c r="Q101"/>
  <c r="P101"/>
  <c r="O101"/>
  <c r="N101"/>
  <c r="M101"/>
  <c r="L101"/>
  <c r="R100"/>
  <c r="Q100"/>
  <c r="P100"/>
  <c r="O100"/>
  <c r="N100"/>
  <c r="M100"/>
  <c r="L100"/>
  <c r="R99"/>
  <c r="Q99"/>
  <c r="P99"/>
  <c r="O99"/>
  <c r="N99"/>
  <c r="M99"/>
  <c r="L99"/>
  <c r="R98"/>
  <c r="Q98"/>
  <c r="P98"/>
  <c r="O98"/>
  <c r="N98"/>
  <c r="M98"/>
  <c r="L98"/>
  <c r="R97"/>
  <c r="Q97"/>
  <c r="P97"/>
  <c r="O97"/>
  <c r="N97"/>
  <c r="M97"/>
  <c r="L97"/>
  <c r="R96"/>
  <c r="Q96"/>
  <c r="P96"/>
  <c r="O96"/>
  <c r="N96"/>
  <c r="M96"/>
  <c r="L96"/>
  <c r="R95"/>
  <c r="Q95"/>
  <c r="P95"/>
  <c r="O95"/>
  <c r="N95"/>
  <c r="M95"/>
  <c r="L95"/>
  <c r="R94"/>
  <c r="Q94"/>
  <c r="P94"/>
  <c r="O94"/>
  <c r="N94"/>
  <c r="M94"/>
  <c r="L94"/>
  <c r="R93"/>
  <c r="Q93"/>
  <c r="P93"/>
  <c r="O93"/>
  <c r="N93"/>
  <c r="M93"/>
  <c r="L93"/>
  <c r="R92"/>
  <c r="Q92"/>
  <c r="P92"/>
  <c r="O92"/>
  <c r="N92"/>
  <c r="M92"/>
  <c r="L92"/>
  <c r="R91"/>
  <c r="Q91"/>
  <c r="P91"/>
  <c r="O91"/>
  <c r="N91"/>
  <c r="M91"/>
  <c r="L91"/>
  <c r="R90"/>
  <c r="Q90"/>
  <c r="P90"/>
  <c r="O90"/>
  <c r="N90"/>
  <c r="M90"/>
  <c r="L90"/>
  <c r="R89"/>
  <c r="Q89"/>
  <c r="P89"/>
  <c r="O89"/>
  <c r="N89"/>
  <c r="M89"/>
  <c r="L89"/>
  <c r="R88"/>
  <c r="Q88"/>
  <c r="P88"/>
  <c r="O88"/>
  <c r="N88"/>
  <c r="M88"/>
  <c r="L88"/>
  <c r="R87"/>
  <c r="Q87"/>
  <c r="P87"/>
  <c r="O87"/>
  <c r="N87"/>
  <c r="M87"/>
  <c r="L87"/>
  <c r="R86"/>
  <c r="Q86"/>
  <c r="P86"/>
  <c r="O86"/>
  <c r="N86"/>
  <c r="M86"/>
  <c r="L86"/>
  <c r="R85"/>
  <c r="Q85"/>
  <c r="P85"/>
  <c r="O85"/>
  <c r="N85"/>
  <c r="M85"/>
  <c r="L85"/>
  <c r="R84"/>
  <c r="Q84"/>
  <c r="P84"/>
  <c r="O84"/>
  <c r="N84"/>
  <c r="M84"/>
  <c r="L84"/>
  <c r="R83"/>
  <c r="Q83"/>
  <c r="P83"/>
  <c r="O83"/>
  <c r="N83"/>
  <c r="M83"/>
  <c r="L83"/>
  <c r="R82"/>
  <c r="Q82"/>
  <c r="P82"/>
  <c r="O82"/>
  <c r="N82"/>
  <c r="M82"/>
  <c r="L82"/>
  <c r="R81"/>
  <c r="Q81"/>
  <c r="P81"/>
  <c r="O81"/>
  <c r="N81"/>
  <c r="M81"/>
  <c r="L81"/>
  <c r="R80"/>
  <c r="Q80"/>
  <c r="P80"/>
  <c r="O80"/>
  <c r="N80"/>
  <c r="M80"/>
  <c r="L80"/>
  <c r="R79"/>
  <c r="Q79"/>
  <c r="P79"/>
  <c r="O79"/>
  <c r="N79"/>
  <c r="M79"/>
  <c r="L79"/>
  <c r="R78"/>
  <c r="Q78"/>
  <c r="P78"/>
  <c r="O78"/>
  <c r="N78"/>
  <c r="M78"/>
  <c r="L78"/>
  <c r="R77"/>
  <c r="Q77"/>
  <c r="P77"/>
  <c r="O77"/>
  <c r="N77"/>
  <c r="M77"/>
  <c r="L77"/>
  <c r="R76"/>
  <c r="Q76"/>
  <c r="P76"/>
  <c r="O76"/>
  <c r="N76"/>
  <c r="M76"/>
  <c r="L76"/>
  <c r="R75"/>
  <c r="Q75"/>
  <c r="P75"/>
  <c r="O75"/>
  <c r="N75"/>
  <c r="M75"/>
  <c r="L75"/>
  <c r="R74"/>
  <c r="Q74"/>
  <c r="P74"/>
  <c r="O74"/>
  <c r="N74"/>
  <c r="M74"/>
  <c r="L74"/>
  <c r="R73"/>
  <c r="Q73"/>
  <c r="P73"/>
  <c r="O73"/>
  <c r="N73"/>
  <c r="M73"/>
  <c r="L73"/>
  <c r="R72"/>
  <c r="Q72"/>
  <c r="P72"/>
  <c r="O72"/>
  <c r="N72"/>
  <c r="M72"/>
  <c r="L72"/>
  <c r="R71"/>
  <c r="Q71"/>
  <c r="P71"/>
  <c r="O71"/>
  <c r="N71"/>
  <c r="M71"/>
  <c r="L71"/>
  <c r="R70"/>
  <c r="Q70"/>
  <c r="P70"/>
  <c r="O70"/>
  <c r="N70"/>
  <c r="M70"/>
  <c r="L70"/>
  <c r="R69"/>
  <c r="Q69"/>
  <c r="P69"/>
  <c r="O69"/>
  <c r="N69"/>
  <c r="M69"/>
  <c r="L69"/>
  <c r="R68"/>
  <c r="Q68"/>
  <c r="P68"/>
  <c r="O68"/>
  <c r="N68"/>
  <c r="M68"/>
  <c r="L68"/>
  <c r="R67"/>
  <c r="Q67"/>
  <c r="P67"/>
  <c r="O67"/>
  <c r="N67"/>
  <c r="M67"/>
  <c r="L67"/>
  <c r="R66"/>
  <c r="Q66"/>
  <c r="P66"/>
  <c r="O66"/>
  <c r="N66"/>
  <c r="M66"/>
  <c r="L66"/>
  <c r="R65"/>
  <c r="Q65"/>
  <c r="P65"/>
  <c r="O65"/>
  <c r="N65"/>
  <c r="M65"/>
  <c r="L65"/>
  <c r="R64"/>
  <c r="Q64"/>
  <c r="P64"/>
  <c r="O64"/>
  <c r="N64"/>
  <c r="M64"/>
  <c r="L64"/>
  <c r="R63"/>
  <c r="Q63"/>
  <c r="P63"/>
  <c r="O63"/>
  <c r="N63"/>
  <c r="M63"/>
  <c r="L63"/>
  <c r="R62"/>
  <c r="Q62"/>
  <c r="P62"/>
  <c r="O62"/>
  <c r="N62"/>
  <c r="M62"/>
  <c r="L62"/>
  <c r="R61"/>
  <c r="Q61"/>
  <c r="P61"/>
  <c r="O61"/>
  <c r="N61"/>
  <c r="M61"/>
  <c r="L61"/>
  <c r="R60"/>
  <c r="Q60"/>
  <c r="P60"/>
  <c r="O60"/>
  <c r="N60"/>
  <c r="M60"/>
  <c r="L60"/>
  <c r="R59"/>
  <c r="Q59"/>
  <c r="P59"/>
  <c r="O59"/>
  <c r="N59"/>
  <c r="M59"/>
  <c r="L59"/>
  <c r="R58"/>
  <c r="Q58"/>
  <c r="P58"/>
  <c r="O58"/>
  <c r="N58"/>
  <c r="M58"/>
  <c r="L58"/>
  <c r="R57"/>
  <c r="Q57"/>
  <c r="P57"/>
  <c r="O57"/>
  <c r="N57"/>
  <c r="M57"/>
  <c r="L57"/>
  <c r="R56"/>
  <c r="Q56"/>
  <c r="P56"/>
  <c r="O56"/>
  <c r="N56"/>
  <c r="M56"/>
  <c r="L56"/>
  <c r="R55"/>
  <c r="Q55"/>
  <c r="P55"/>
  <c r="O55"/>
  <c r="N55"/>
  <c r="M55"/>
  <c r="L55"/>
  <c r="R54"/>
  <c r="Q54"/>
  <c r="P54"/>
  <c r="O54"/>
  <c r="N54"/>
  <c r="M54"/>
  <c r="L54"/>
  <c r="R53"/>
  <c r="Q53"/>
  <c r="P53"/>
  <c r="O53"/>
  <c r="N53"/>
  <c r="M53"/>
  <c r="L53"/>
  <c r="R52"/>
  <c r="Q52"/>
  <c r="P52"/>
  <c r="O52"/>
  <c r="N52"/>
  <c r="M52"/>
  <c r="L52"/>
  <c r="R51"/>
  <c r="Q51"/>
  <c r="P51"/>
  <c r="O51"/>
  <c r="N51"/>
  <c r="M51"/>
  <c r="L51"/>
  <c r="R50"/>
  <c r="Q50"/>
  <c r="P50"/>
  <c r="O50"/>
  <c r="N50"/>
  <c r="M50"/>
  <c r="L50"/>
  <c r="R49"/>
  <c r="Q49"/>
  <c r="P49"/>
  <c r="O49"/>
  <c r="N49"/>
  <c r="M49"/>
  <c r="L49"/>
  <c r="R48"/>
  <c r="Q48"/>
  <c r="P48"/>
  <c r="O48"/>
  <c r="N48"/>
  <c r="M48"/>
  <c r="L48"/>
  <c r="R47"/>
  <c r="Q47"/>
  <c r="P47"/>
  <c r="O47"/>
  <c r="N47"/>
  <c r="M47"/>
  <c r="L47"/>
  <c r="R46"/>
  <c r="Q46"/>
  <c r="P46"/>
  <c r="O46"/>
  <c r="N46"/>
  <c r="M46"/>
  <c r="L46"/>
  <c r="R45"/>
  <c r="Q45"/>
  <c r="P45"/>
  <c r="O45"/>
  <c r="N45"/>
  <c r="M45"/>
  <c r="L45"/>
  <c r="R44"/>
  <c r="Q44"/>
  <c r="P44"/>
  <c r="O44"/>
  <c r="N44"/>
  <c r="M44"/>
  <c r="L44"/>
  <c r="R43"/>
  <c r="Q43"/>
  <c r="P43"/>
  <c r="O43"/>
  <c r="N43"/>
  <c r="M43"/>
  <c r="L43"/>
  <c r="R42"/>
  <c r="Q42"/>
  <c r="P42"/>
  <c r="O42"/>
  <c r="N42"/>
  <c r="M42"/>
  <c r="L42"/>
  <c r="R41"/>
  <c r="Q41"/>
  <c r="P41"/>
  <c r="O41"/>
  <c r="N41"/>
  <c r="M41"/>
  <c r="L41"/>
  <c r="R40"/>
  <c r="Q40"/>
  <c r="P40"/>
  <c r="O40"/>
  <c r="N40"/>
  <c r="M40"/>
  <c r="L40"/>
  <c r="R39"/>
  <c r="Q39"/>
  <c r="P39"/>
  <c r="O39"/>
  <c r="N39"/>
  <c r="M39"/>
  <c r="L39"/>
  <c r="R38"/>
  <c r="Q38"/>
  <c r="P38"/>
  <c r="O38"/>
  <c r="N38"/>
  <c r="M38"/>
  <c r="L38"/>
  <c r="R37"/>
  <c r="Q37"/>
  <c r="P37"/>
  <c r="O37"/>
  <c r="N37"/>
  <c r="M37"/>
  <c r="L37"/>
  <c r="R36"/>
  <c r="Q36"/>
  <c r="P36"/>
  <c r="O36"/>
  <c r="N36"/>
  <c r="M36"/>
  <c r="L36"/>
  <c r="R35"/>
  <c r="Q35"/>
  <c r="P35"/>
  <c r="O35"/>
  <c r="N35"/>
  <c r="M35"/>
  <c r="L35"/>
  <c r="R34"/>
  <c r="Q34"/>
  <c r="P34"/>
  <c r="O34"/>
  <c r="N34"/>
  <c r="M34"/>
  <c r="L34"/>
  <c r="R33"/>
  <c r="Q33"/>
  <c r="P33"/>
  <c r="O33"/>
  <c r="N33"/>
  <c r="M33"/>
  <c r="L33"/>
  <c r="R32"/>
  <c r="Q32"/>
  <c r="P32"/>
  <c r="O32"/>
  <c r="N32"/>
  <c r="M32"/>
  <c r="L32"/>
  <c r="R31"/>
  <c r="Q31"/>
  <c r="P31"/>
  <c r="O31"/>
  <c r="N31"/>
  <c r="M31"/>
  <c r="L31"/>
  <c r="R30"/>
  <c r="Q30"/>
  <c r="P30"/>
  <c r="O30"/>
  <c r="N30"/>
  <c r="M30"/>
  <c r="L30"/>
  <c r="R29"/>
  <c r="Q29"/>
  <c r="P29"/>
  <c r="O29"/>
  <c r="N29"/>
  <c r="M29"/>
  <c r="L29"/>
  <c r="R28"/>
  <c r="Q28"/>
  <c r="P28"/>
  <c r="O28"/>
  <c r="N28"/>
  <c r="M28"/>
  <c r="L28"/>
  <c r="R27"/>
  <c r="Q27"/>
  <c r="P27"/>
  <c r="O27"/>
  <c r="N27"/>
  <c r="M27"/>
  <c r="L27"/>
  <c r="R26"/>
  <c r="Q26"/>
  <c r="P26"/>
  <c r="O26"/>
  <c r="N26"/>
  <c r="M26"/>
  <c r="L26"/>
  <c r="R25"/>
  <c r="Q25"/>
  <c r="P25"/>
  <c r="O25"/>
  <c r="N25"/>
  <c r="M25"/>
  <c r="L25"/>
  <c r="R24"/>
  <c r="Q24"/>
  <c r="P24"/>
  <c r="O24"/>
  <c r="N24"/>
  <c r="M24"/>
  <c r="L24"/>
  <c r="R23"/>
  <c r="Q23"/>
  <c r="P23"/>
  <c r="O23"/>
  <c r="N23"/>
  <c r="M23"/>
  <c r="L23"/>
  <c r="R22"/>
  <c r="Q22"/>
  <c r="P22"/>
  <c r="O22"/>
  <c r="N22"/>
  <c r="M22"/>
  <c r="L22"/>
  <c r="R21"/>
  <c r="Q21"/>
  <c r="P21"/>
  <c r="O21"/>
  <c r="N21"/>
  <c r="M21"/>
  <c r="L21"/>
  <c r="R20"/>
  <c r="Q20"/>
  <c r="P20"/>
  <c r="O20"/>
  <c r="N20"/>
  <c r="M20"/>
  <c r="L20"/>
  <c r="R19"/>
  <c r="Q19"/>
  <c r="P19"/>
  <c r="O19"/>
  <c r="N19"/>
  <c r="M19"/>
  <c r="L19"/>
  <c r="R18"/>
  <c r="Q18"/>
  <c r="P18"/>
  <c r="O18"/>
  <c r="N18"/>
  <c r="M18"/>
  <c r="L18"/>
  <c r="R17"/>
  <c r="Q17"/>
  <c r="P17"/>
  <c r="O17"/>
  <c r="N17"/>
  <c r="M17"/>
  <c r="L17"/>
  <c r="R16"/>
  <c r="Q16"/>
  <c r="P16"/>
  <c r="O16"/>
  <c r="N16"/>
  <c r="M16"/>
  <c r="L16"/>
  <c r="R15"/>
  <c r="Q15"/>
  <c r="P15"/>
  <c r="O15"/>
  <c r="N15"/>
  <c r="M15"/>
  <c r="L15"/>
  <c r="R14"/>
  <c r="Q14"/>
  <c r="P14"/>
  <c r="O14"/>
  <c r="N14"/>
  <c r="M14"/>
  <c r="L14"/>
  <c r="R13"/>
  <c r="Q13"/>
  <c r="P13"/>
  <c r="O13"/>
  <c r="N13"/>
  <c r="M13"/>
  <c r="L13"/>
  <c r="R12"/>
  <c r="Q12"/>
  <c r="P12"/>
  <c r="O12"/>
  <c r="N12"/>
  <c r="M12"/>
  <c r="L12"/>
  <c r="R11"/>
  <c r="Q11"/>
  <c r="P11"/>
  <c r="O11"/>
  <c r="N11"/>
  <c r="M11"/>
  <c r="L11"/>
  <c r="R10"/>
  <c r="Q10"/>
  <c r="P10"/>
  <c r="O10"/>
  <c r="N10"/>
  <c r="M10"/>
  <c r="L10"/>
  <c r="R9"/>
  <c r="Q9"/>
  <c r="P9"/>
  <c r="O9"/>
  <c r="N9"/>
  <c r="M9"/>
  <c r="L9"/>
  <c r="R8"/>
  <c r="Q8"/>
  <c r="P8"/>
  <c r="O8"/>
  <c r="N8"/>
  <c r="M8"/>
  <c r="L8"/>
  <c r="R7"/>
  <c r="Q7"/>
  <c r="P7"/>
  <c r="O7"/>
  <c r="N7"/>
  <c r="M7"/>
  <c r="L7"/>
  <c r="R6"/>
  <c r="Q6"/>
  <c r="P6"/>
  <c r="O6"/>
  <c r="N6"/>
  <c r="M6"/>
  <c r="L6"/>
  <c r="R5"/>
  <c r="Q5"/>
  <c r="P5"/>
  <c r="O5"/>
  <c r="N5"/>
  <c r="M5"/>
  <c r="L5"/>
  <c r="R4"/>
  <c r="Q4"/>
  <c r="P4"/>
  <c r="O4"/>
  <c r="N4"/>
  <c r="M4"/>
  <c r="L4"/>
  <c r="R3"/>
  <c r="Q3"/>
  <c r="P3"/>
  <c r="O3"/>
  <c r="N3"/>
  <c r="J3"/>
  <c r="I3"/>
  <c r="H3"/>
  <c r="G3"/>
  <c r="R2"/>
  <c r="Q2"/>
  <c r="P2"/>
  <c r="O2"/>
  <c r="N1"/>
  <c r="M1"/>
  <c r="T26" i="7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T4"/>
  <c r="U3"/>
  <c r="T3"/>
  <c r="AD51" i="5"/>
  <c r="AC51"/>
  <c r="AB51"/>
  <c r="AA51"/>
  <c r="Z51"/>
  <c r="Y51"/>
  <c r="X51"/>
  <c r="V51"/>
  <c r="U51"/>
  <c r="T51"/>
  <c r="S51"/>
  <c r="Q51"/>
  <c r="P51"/>
  <c r="O51"/>
  <c r="M51"/>
  <c r="L51"/>
  <c r="K51"/>
  <c r="I51"/>
  <c r="H51"/>
  <c r="G51"/>
  <c r="F51"/>
  <c r="E51"/>
  <c r="AD50"/>
  <c r="AC50"/>
  <c r="AB50"/>
  <c r="AA50"/>
  <c r="Z50"/>
  <c r="Y50"/>
  <c r="X50"/>
  <c r="V50"/>
  <c r="U50"/>
  <c r="T50"/>
  <c r="S50"/>
  <c r="Q50"/>
  <c r="P50"/>
  <c r="O50"/>
  <c r="M50"/>
  <c r="L50"/>
  <c r="K50"/>
  <c r="I50"/>
  <c r="H50"/>
  <c r="G50"/>
  <c r="F50"/>
  <c r="E50"/>
  <c r="AD48"/>
  <c r="AC48"/>
  <c r="AB48"/>
  <c r="AA48"/>
  <c r="Z48"/>
  <c r="Y48"/>
  <c r="X48"/>
  <c r="V48"/>
  <c r="U48"/>
  <c r="T48"/>
  <c r="S48"/>
  <c r="Q48"/>
  <c r="P48"/>
  <c r="O48"/>
  <c r="M48"/>
  <c r="L48"/>
  <c r="K48"/>
  <c r="I48"/>
  <c r="H48"/>
  <c r="G48"/>
  <c r="F48"/>
  <c r="E48"/>
  <c r="AD47"/>
  <c r="AC47"/>
  <c r="AB47"/>
  <c r="AA47"/>
  <c r="Z47"/>
  <c r="Y47"/>
  <c r="X47"/>
  <c r="V47"/>
  <c r="U47"/>
  <c r="T47"/>
  <c r="S47"/>
  <c r="Q47"/>
  <c r="P47"/>
  <c r="O47"/>
  <c r="M47"/>
  <c r="L47"/>
  <c r="K47"/>
  <c r="I47"/>
  <c r="H47"/>
  <c r="G47"/>
  <c r="F47"/>
  <c r="E47"/>
  <c r="AD46"/>
  <c r="AC46"/>
  <c r="AB46"/>
  <c r="AA46"/>
  <c r="Z46"/>
  <c r="Y46"/>
  <c r="X46"/>
  <c r="V46"/>
  <c r="U46"/>
  <c r="T46"/>
  <c r="S46"/>
  <c r="Q46"/>
  <c r="P46"/>
  <c r="O46"/>
  <c r="M46"/>
  <c r="L46"/>
  <c r="K46"/>
  <c r="I46"/>
  <c r="H46"/>
  <c r="G46"/>
  <c r="F46"/>
  <c r="E46"/>
  <c r="AD44"/>
  <c r="AC44"/>
  <c r="AB44"/>
  <c r="AA44"/>
  <c r="Z44"/>
  <c r="Y44"/>
  <c r="X44"/>
  <c r="V44"/>
  <c r="U44"/>
  <c r="T44"/>
  <c r="S44"/>
  <c r="Q44"/>
  <c r="P44"/>
  <c r="O44"/>
  <c r="M44"/>
  <c r="L44"/>
  <c r="K44"/>
  <c r="I44"/>
  <c r="H44"/>
  <c r="G44"/>
  <c r="F44"/>
  <c r="E44"/>
  <c r="AD43"/>
  <c r="AC43"/>
  <c r="AB43"/>
  <c r="AA43"/>
  <c r="Z43"/>
  <c r="Y43"/>
  <c r="X43"/>
  <c r="V43"/>
  <c r="U43"/>
  <c r="T43"/>
  <c r="S43"/>
  <c r="Q43"/>
  <c r="P43"/>
  <c r="O43"/>
  <c r="M43"/>
  <c r="L43"/>
  <c r="K43"/>
  <c r="I43"/>
  <c r="H43"/>
  <c r="G43"/>
  <c r="F43"/>
  <c r="E43"/>
  <c r="AD42"/>
  <c r="AC42"/>
  <c r="AB42"/>
  <c r="AA42"/>
  <c r="Z42"/>
  <c r="Y42"/>
  <c r="X42"/>
  <c r="V42"/>
  <c r="U42"/>
  <c r="T42"/>
  <c r="S42"/>
  <c r="Q42"/>
  <c r="P42"/>
  <c r="O42"/>
  <c r="M42"/>
  <c r="L42"/>
  <c r="K42"/>
  <c r="I42"/>
  <c r="H42"/>
  <c r="G42"/>
  <c r="F42"/>
  <c r="E42"/>
  <c r="AD41"/>
  <c r="AC41"/>
  <c r="AB41"/>
  <c r="AA41"/>
  <c r="Z41"/>
  <c r="Y41"/>
  <c r="X41"/>
  <c r="V41"/>
  <c r="U41"/>
  <c r="T41"/>
  <c r="S41"/>
  <c r="Q41"/>
  <c r="P41"/>
  <c r="O41"/>
  <c r="M41"/>
  <c r="L41"/>
  <c r="K41"/>
  <c r="I41"/>
  <c r="H41"/>
  <c r="G41"/>
  <c r="F41"/>
  <c r="E41"/>
  <c r="AD40"/>
  <c r="AC40"/>
  <c r="AB40"/>
  <c r="AA40"/>
  <c r="Z40"/>
  <c r="Y40"/>
  <c r="X40"/>
  <c r="V40"/>
  <c r="U40"/>
  <c r="T40"/>
  <c r="S40"/>
  <c r="Q40"/>
  <c r="P40"/>
  <c r="O40"/>
  <c r="M40"/>
  <c r="L40"/>
  <c r="K40"/>
  <c r="I40"/>
  <c r="H40"/>
  <c r="G40"/>
  <c r="F40"/>
  <c r="E40"/>
  <c r="AD39"/>
  <c r="AC39"/>
  <c r="AB39"/>
  <c r="AA39"/>
  <c r="Z39"/>
  <c r="Y39"/>
  <c r="X39"/>
  <c r="V39"/>
  <c r="U39"/>
  <c r="T39"/>
  <c r="S39"/>
  <c r="Q39"/>
  <c r="P39"/>
  <c r="O39"/>
  <c r="M39"/>
  <c r="L39"/>
  <c r="K39"/>
  <c r="I39"/>
  <c r="H39"/>
  <c r="G39"/>
  <c r="F39"/>
  <c r="E39"/>
  <c r="AD37"/>
  <c r="AC37"/>
  <c r="AB37"/>
  <c r="AA37"/>
  <c r="Z37"/>
  <c r="Y37"/>
  <c r="X37"/>
  <c r="V37"/>
  <c r="U37"/>
  <c r="T37"/>
  <c r="S37"/>
  <c r="Q37"/>
  <c r="P37"/>
  <c r="O37"/>
  <c r="M37"/>
  <c r="L37"/>
  <c r="K37"/>
  <c r="I37"/>
  <c r="H37"/>
  <c r="G37"/>
  <c r="F37"/>
  <c r="E37"/>
  <c r="AD36"/>
  <c r="AC36"/>
  <c r="AB36"/>
  <c r="AA36"/>
  <c r="Z36"/>
  <c r="Y36"/>
  <c r="X36"/>
  <c r="V36"/>
  <c r="U36"/>
  <c r="T36"/>
  <c r="S36"/>
  <c r="Q36"/>
  <c r="P36"/>
  <c r="O36"/>
  <c r="M36"/>
  <c r="L36"/>
  <c r="K36"/>
  <c r="I36"/>
  <c r="H36"/>
  <c r="G36"/>
  <c r="F36"/>
  <c r="E36"/>
  <c r="AD34"/>
  <c r="AC34"/>
  <c r="AB34"/>
  <c r="AA34"/>
  <c r="Z34"/>
  <c r="Y34"/>
  <c r="X34"/>
  <c r="V34"/>
  <c r="U34"/>
  <c r="T34"/>
  <c r="S34"/>
  <c r="Q34"/>
  <c r="P34"/>
  <c r="O34"/>
  <c r="M34"/>
  <c r="L34"/>
  <c r="K34"/>
  <c r="I34"/>
  <c r="H34"/>
  <c r="G34"/>
  <c r="F34"/>
  <c r="E34"/>
  <c r="AD33"/>
  <c r="AC33"/>
  <c r="AB33"/>
  <c r="AA33"/>
  <c r="Z33"/>
  <c r="Y33"/>
  <c r="X33"/>
  <c r="V33"/>
  <c r="U33"/>
  <c r="T33"/>
  <c r="S33"/>
  <c r="Q33"/>
  <c r="P33"/>
  <c r="O33"/>
  <c r="M33"/>
  <c r="L33"/>
  <c r="K33"/>
  <c r="I33"/>
  <c r="H33"/>
  <c r="G33"/>
  <c r="F33"/>
  <c r="E33"/>
  <c r="AD32"/>
  <c r="AC32"/>
  <c r="AB32"/>
  <c r="AA32"/>
  <c r="Z32"/>
  <c r="Y32"/>
  <c r="X32"/>
  <c r="V32"/>
  <c r="U32"/>
  <c r="T32"/>
  <c r="S32"/>
  <c r="Q32"/>
  <c r="P32"/>
  <c r="O32"/>
  <c r="M32"/>
  <c r="L32"/>
  <c r="K32"/>
  <c r="I32"/>
  <c r="H32"/>
  <c r="G32"/>
  <c r="F32"/>
  <c r="E32"/>
  <c r="AD31"/>
  <c r="AC31"/>
  <c r="AB31"/>
  <c r="AA31"/>
  <c r="Z31"/>
  <c r="Y31"/>
  <c r="X31"/>
  <c r="V31"/>
  <c r="U31"/>
  <c r="T31"/>
  <c r="S31"/>
  <c r="Q31"/>
  <c r="P31"/>
  <c r="O31"/>
  <c r="M31"/>
  <c r="L31"/>
  <c r="K31"/>
  <c r="I31"/>
  <c r="H31"/>
  <c r="G31"/>
  <c r="F31"/>
  <c r="E31"/>
  <c r="C31"/>
  <c r="B31"/>
  <c r="AD28"/>
  <c r="AC28"/>
  <c r="AB28"/>
  <c r="AA28"/>
  <c r="Z28"/>
  <c r="Y28"/>
  <c r="X28"/>
  <c r="V28"/>
  <c r="U28"/>
  <c r="T28"/>
  <c r="S28"/>
  <c r="Q28"/>
  <c r="P28"/>
  <c r="O28"/>
  <c r="M28"/>
  <c r="L28"/>
  <c r="K28"/>
  <c r="I28"/>
  <c r="H28"/>
  <c r="G28"/>
  <c r="F28"/>
  <c r="E28"/>
  <c r="AD27"/>
  <c r="AC27"/>
  <c r="AB27"/>
  <c r="AA27"/>
  <c r="Z27"/>
  <c r="Y27"/>
  <c r="X27"/>
  <c r="V27"/>
  <c r="U27"/>
  <c r="T27"/>
  <c r="S27"/>
  <c r="Q27"/>
  <c r="P27"/>
  <c r="O27"/>
  <c r="M27"/>
  <c r="L27"/>
  <c r="K27"/>
  <c r="I27"/>
  <c r="H27"/>
  <c r="G27"/>
  <c r="F27"/>
  <c r="E27"/>
  <c r="AD26"/>
  <c r="AC26"/>
  <c r="AB26"/>
  <c r="AA26"/>
  <c r="Z26"/>
  <c r="Y26"/>
  <c r="X26"/>
  <c r="V26"/>
  <c r="U26"/>
  <c r="T26"/>
  <c r="S26"/>
  <c r="Q26"/>
  <c r="P26"/>
  <c r="O26"/>
  <c r="M26"/>
  <c r="L26"/>
  <c r="K26"/>
  <c r="I26"/>
  <c r="H26"/>
  <c r="G26"/>
  <c r="F26"/>
  <c r="E26"/>
  <c r="AD25"/>
  <c r="AC25"/>
  <c r="AB25"/>
  <c r="AA25"/>
  <c r="Z25"/>
  <c r="Y25"/>
  <c r="X25"/>
  <c r="V25"/>
  <c r="U25"/>
  <c r="T25"/>
  <c r="S25"/>
  <c r="Q25"/>
  <c r="P25"/>
  <c r="O25"/>
  <c r="M25"/>
  <c r="L25"/>
  <c r="K25"/>
  <c r="I25"/>
  <c r="H25"/>
  <c r="G25"/>
  <c r="F25"/>
  <c r="E25"/>
  <c r="AD24"/>
  <c r="AC24"/>
  <c r="AB24"/>
  <c r="AA24"/>
  <c r="Z24"/>
  <c r="Y24"/>
  <c r="X24"/>
  <c r="V24"/>
  <c r="U24"/>
  <c r="T24"/>
  <c r="S24"/>
  <c r="Q24"/>
  <c r="P24"/>
  <c r="O24"/>
  <c r="M24"/>
  <c r="L24"/>
  <c r="K24"/>
  <c r="I24"/>
  <c r="H24"/>
  <c r="G24"/>
  <c r="F24"/>
  <c r="E24"/>
  <c r="AD23"/>
  <c r="AC23"/>
  <c r="AB23"/>
  <c r="AA23"/>
  <c r="Z23"/>
  <c r="Y23"/>
  <c r="X23"/>
  <c r="V23"/>
  <c r="U23"/>
  <c r="T23"/>
  <c r="S23"/>
  <c r="Q23"/>
  <c r="P23"/>
  <c r="O23"/>
  <c r="M23"/>
  <c r="L23"/>
  <c r="K23"/>
  <c r="I23"/>
  <c r="H23"/>
  <c r="G23"/>
  <c r="F23"/>
  <c r="E23"/>
  <c r="AD22"/>
  <c r="AC22"/>
  <c r="AB22"/>
  <c r="AA22"/>
  <c r="Z22"/>
  <c r="Y22"/>
  <c r="X22"/>
  <c r="V22"/>
  <c r="U22"/>
  <c r="T22"/>
  <c r="S22"/>
  <c r="Q22"/>
  <c r="P22"/>
  <c r="O22"/>
  <c r="M22"/>
  <c r="L22"/>
  <c r="K22"/>
  <c r="I22"/>
  <c r="H22"/>
  <c r="G22"/>
  <c r="F22"/>
  <c r="E22"/>
  <c r="AD21"/>
  <c r="AC21"/>
  <c r="AB21"/>
  <c r="AA21"/>
  <c r="Z21"/>
  <c r="Y21"/>
  <c r="X21"/>
  <c r="V21"/>
  <c r="U21"/>
  <c r="T21"/>
  <c r="S21"/>
  <c r="Q21"/>
  <c r="P21"/>
  <c r="O21"/>
  <c r="M21"/>
  <c r="L21"/>
  <c r="K21"/>
  <c r="I21"/>
  <c r="H21"/>
  <c r="G21"/>
  <c r="F21"/>
  <c r="E21"/>
  <c r="AD20"/>
  <c r="AC20"/>
  <c r="AB20"/>
  <c r="AA20"/>
  <c r="Z20"/>
  <c r="Y20"/>
  <c r="X20"/>
  <c r="V20"/>
  <c r="U20"/>
  <c r="T20"/>
  <c r="S20"/>
  <c r="Q20"/>
  <c r="P20"/>
  <c r="O20"/>
  <c r="M20"/>
  <c r="L20"/>
  <c r="K20"/>
  <c r="I20"/>
  <c r="H20"/>
  <c r="G20"/>
  <c r="F20"/>
  <c r="E20"/>
  <c r="AD19"/>
  <c r="AC19"/>
  <c r="AB19"/>
  <c r="AA19"/>
  <c r="Z19"/>
  <c r="Y19"/>
  <c r="X19"/>
  <c r="V19"/>
  <c r="U19"/>
  <c r="T19"/>
  <c r="S19"/>
  <c r="Q19"/>
  <c r="P19"/>
  <c r="O19"/>
  <c r="M19"/>
  <c r="L19"/>
  <c r="K19"/>
  <c r="I19"/>
  <c r="H19"/>
  <c r="G19"/>
  <c r="F19"/>
  <c r="E19"/>
  <c r="AD18"/>
  <c r="AC18"/>
  <c r="AB18"/>
  <c r="AA18"/>
  <c r="Z18"/>
  <c r="Y18"/>
  <c r="X18"/>
  <c r="V18"/>
  <c r="U18"/>
  <c r="T18"/>
  <c r="S18"/>
  <c r="Q18"/>
  <c r="P18"/>
  <c r="O18"/>
  <c r="M18"/>
  <c r="L18"/>
  <c r="K18"/>
  <c r="I18"/>
  <c r="H18"/>
  <c r="G18"/>
  <c r="F18"/>
  <c r="E18"/>
  <c r="AD16"/>
  <c r="AC16"/>
  <c r="AB16"/>
  <c r="AA16"/>
  <c r="Z16"/>
  <c r="Y16"/>
  <c r="X16"/>
  <c r="V16"/>
  <c r="U16"/>
  <c r="T16"/>
  <c r="S16"/>
  <c r="Q16"/>
  <c r="P16"/>
  <c r="O16"/>
  <c r="M16"/>
  <c r="L16"/>
  <c r="K16"/>
  <c r="I16"/>
  <c r="H16"/>
  <c r="G16"/>
  <c r="F16"/>
  <c r="E16"/>
  <c r="AD15"/>
  <c r="AC15"/>
  <c r="AB15"/>
  <c r="AA15"/>
  <c r="Z15"/>
  <c r="Y15"/>
  <c r="X15"/>
  <c r="V15"/>
  <c r="U15"/>
  <c r="T15"/>
  <c r="S15"/>
  <c r="Q15"/>
  <c r="P15"/>
  <c r="O15"/>
  <c r="M15"/>
  <c r="L15"/>
  <c r="K15"/>
  <c r="I15"/>
  <c r="H15"/>
  <c r="G15"/>
  <c r="F15"/>
  <c r="E15"/>
  <c r="AD14"/>
  <c r="AC14"/>
  <c r="AB14"/>
  <c r="AA14"/>
  <c r="Z14"/>
  <c r="Y14"/>
  <c r="X14"/>
  <c r="V14"/>
  <c r="U14"/>
  <c r="T14"/>
  <c r="S14"/>
  <c r="Q14"/>
  <c r="P14"/>
  <c r="O14"/>
  <c r="M14"/>
  <c r="L14"/>
  <c r="K14"/>
  <c r="I14"/>
  <c r="H14"/>
  <c r="G14"/>
  <c r="F14"/>
  <c r="E14"/>
  <c r="AD13"/>
  <c r="AC13"/>
  <c r="AB13"/>
  <c r="AA13"/>
  <c r="Z13"/>
  <c r="Y13"/>
  <c r="X13"/>
  <c r="V13"/>
  <c r="U13"/>
  <c r="T13"/>
  <c r="S13"/>
  <c r="Q13"/>
  <c r="P13"/>
  <c r="O13"/>
  <c r="M13"/>
  <c r="L13"/>
  <c r="K13"/>
  <c r="I13"/>
  <c r="H13"/>
  <c r="G13"/>
  <c r="F13"/>
  <c r="E13"/>
  <c r="AD12"/>
  <c r="AC12"/>
  <c r="AB12"/>
  <c r="AA12"/>
  <c r="Z12"/>
  <c r="Y12"/>
  <c r="X12"/>
  <c r="V12"/>
  <c r="U12"/>
  <c r="T12"/>
  <c r="S12"/>
  <c r="Q12"/>
  <c r="P12"/>
  <c r="O12"/>
  <c r="M12"/>
  <c r="L12"/>
  <c r="K12"/>
  <c r="I12"/>
  <c r="H12"/>
  <c r="G12"/>
  <c r="F12"/>
  <c r="E12"/>
  <c r="AD11"/>
  <c r="AC11"/>
  <c r="AB11"/>
  <c r="AA11"/>
  <c r="Z11"/>
  <c r="Y11"/>
  <c r="X11"/>
  <c r="V11"/>
  <c r="U11"/>
  <c r="T11"/>
  <c r="S11"/>
  <c r="Q11"/>
  <c r="P11"/>
  <c r="O11"/>
  <c r="M11"/>
  <c r="L11"/>
  <c r="K11"/>
  <c r="I11"/>
  <c r="H11"/>
  <c r="G11"/>
  <c r="F11"/>
  <c r="E11"/>
  <c r="AD10"/>
  <c r="AC10"/>
  <c r="AB10"/>
  <c r="AA10"/>
  <c r="Z10"/>
  <c r="Y10"/>
  <c r="X10"/>
  <c r="V10"/>
  <c r="U10"/>
  <c r="T10"/>
  <c r="S10"/>
  <c r="Q10"/>
  <c r="P10"/>
  <c r="O10"/>
  <c r="M10"/>
  <c r="L10"/>
  <c r="K10"/>
  <c r="I10"/>
  <c r="H10"/>
  <c r="G10"/>
  <c r="F10"/>
  <c r="E10"/>
  <c r="AD9"/>
  <c r="AC9"/>
  <c r="AB9"/>
  <c r="AA9"/>
  <c r="Z9"/>
  <c r="Y9"/>
  <c r="X9"/>
  <c r="V9"/>
  <c r="U9"/>
  <c r="T9"/>
  <c r="S9"/>
  <c r="Q9"/>
  <c r="P9"/>
  <c r="O9"/>
  <c r="M9"/>
  <c r="L9"/>
  <c r="K9"/>
  <c r="I9"/>
  <c r="H9"/>
  <c r="G9"/>
  <c r="F9"/>
  <c r="E9"/>
  <c r="AH8"/>
  <c r="AG8"/>
  <c r="AD8"/>
  <c r="AC8"/>
  <c r="AB8"/>
  <c r="AA8"/>
  <c r="Z8"/>
  <c r="Y8"/>
  <c r="X8"/>
  <c r="V8"/>
  <c r="U8"/>
  <c r="T8"/>
  <c r="S8"/>
  <c r="Q8"/>
  <c r="P8"/>
  <c r="O8"/>
  <c r="M8"/>
  <c r="L8"/>
  <c r="K8"/>
  <c r="I8"/>
  <c r="H8"/>
  <c r="G8"/>
  <c r="F8"/>
  <c r="E8"/>
  <c r="AH7"/>
  <c r="AG7"/>
  <c r="AD7"/>
  <c r="AC7"/>
  <c r="AB7"/>
  <c r="AA7"/>
  <c r="Z7"/>
  <c r="Y7"/>
  <c r="X7"/>
  <c r="V7"/>
  <c r="U7"/>
  <c r="T7"/>
  <c r="S7"/>
  <c r="Q7"/>
  <c r="P7"/>
  <c r="O7"/>
  <c r="M7"/>
  <c r="L7"/>
  <c r="K7"/>
  <c r="I7"/>
  <c r="H7"/>
  <c r="G7"/>
  <c r="F7"/>
  <c r="E7"/>
  <c r="AH6"/>
  <c r="AG6"/>
  <c r="AD6"/>
  <c r="AC6"/>
  <c r="AB6"/>
  <c r="AA6"/>
  <c r="Z6"/>
  <c r="Y6"/>
  <c r="X6"/>
  <c r="V6"/>
  <c r="U6"/>
  <c r="T6"/>
  <c r="S6"/>
  <c r="Q6"/>
  <c r="P6"/>
  <c r="O6"/>
  <c r="M6"/>
  <c r="L6"/>
  <c r="K6"/>
  <c r="I6"/>
  <c r="H6"/>
  <c r="G6"/>
  <c r="F6"/>
  <c r="E6"/>
  <c r="AH5"/>
  <c r="AG5"/>
  <c r="AD5"/>
  <c r="AC5"/>
  <c r="AB5"/>
  <c r="AA5"/>
  <c r="Z5"/>
  <c r="Y5"/>
  <c r="X5"/>
  <c r="V5"/>
  <c r="U5"/>
  <c r="T5"/>
  <c r="S5"/>
  <c r="Q5"/>
  <c r="P5"/>
  <c r="O5"/>
  <c r="M5"/>
  <c r="L5"/>
  <c r="K5"/>
  <c r="I5"/>
  <c r="H5"/>
  <c r="G5"/>
  <c r="F5"/>
  <c r="E5"/>
  <c r="B4"/>
  <c r="AD2"/>
  <c r="AC2"/>
  <c r="AB2"/>
  <c r="AA2"/>
  <c r="Z2"/>
  <c r="Y2"/>
  <c r="X2"/>
  <c r="V2"/>
  <c r="U2"/>
  <c r="T2"/>
  <c r="S2"/>
  <c r="Q2"/>
  <c r="P2"/>
  <c r="O2"/>
  <c r="M2"/>
  <c r="L2"/>
  <c r="K2"/>
  <c r="I2"/>
  <c r="H2"/>
  <c r="G2"/>
  <c r="F2"/>
  <c r="E2"/>
  <c r="B9" i="3"/>
  <c r="B8"/>
  <c r="B7"/>
  <c r="B6"/>
  <c r="C56" i="6"/>
  <c r="O31"/>
  <c r="N31"/>
  <c r="M31"/>
  <c r="L31"/>
  <c r="K31"/>
  <c r="I31"/>
  <c r="H31"/>
  <c r="G31"/>
  <c r="F31"/>
  <c r="E31"/>
  <c r="C31"/>
  <c r="K30"/>
  <c r="E30"/>
  <c r="O5"/>
  <c r="N5"/>
  <c r="M5"/>
  <c r="L5"/>
  <c r="K5"/>
  <c r="I5"/>
  <c r="H5"/>
  <c r="G5"/>
  <c r="F5"/>
  <c r="E5"/>
  <c r="O4"/>
  <c r="N4"/>
  <c r="M4"/>
  <c r="L4"/>
  <c r="I4"/>
  <c r="H4"/>
  <c r="G4"/>
  <c r="F4"/>
  <c r="K3"/>
  <c r="E3"/>
  <c r="I28" s="1"/>
  <c r="O2"/>
  <c r="N2"/>
  <c r="M2"/>
  <c r="L2"/>
  <c r="I2"/>
  <c r="H2"/>
  <c r="G2"/>
  <c r="F2"/>
  <c r="B1"/>
  <c r="O30" i="4"/>
  <c r="G30"/>
  <c r="O29"/>
  <c r="O27"/>
  <c r="I27"/>
  <c r="G27"/>
  <c r="O26"/>
  <c r="O24"/>
  <c r="I24"/>
  <c r="G24"/>
  <c r="O23"/>
  <c r="O21"/>
  <c r="I21"/>
  <c r="G21"/>
  <c r="O20"/>
  <c r="O18"/>
  <c r="G18"/>
  <c r="O17"/>
  <c r="O15"/>
  <c r="G15"/>
  <c r="O14"/>
  <c r="O12"/>
  <c r="I12"/>
  <c r="G12"/>
  <c r="W11"/>
  <c r="W12" s="1"/>
  <c r="W13" s="1"/>
  <c r="W14" s="1"/>
  <c r="W15" s="1"/>
  <c r="W16" s="1"/>
  <c r="W17" s="1"/>
  <c r="W18" s="1"/>
  <c r="W19" s="1"/>
  <c r="W20" s="1"/>
  <c r="W21" s="1"/>
  <c r="W22" s="1"/>
  <c r="W23" s="1"/>
  <c r="W24" s="1"/>
  <c r="W25" s="1"/>
  <c r="W26" s="1"/>
  <c r="W27" s="1"/>
  <c r="W28" s="1"/>
  <c r="W29" s="1"/>
  <c r="W30" s="1"/>
  <c r="W31" s="1"/>
  <c r="W32" s="1"/>
  <c r="W33" s="1"/>
  <c r="W34" s="1"/>
  <c r="W35" s="1"/>
  <c r="W36" s="1"/>
  <c r="W37" s="1"/>
  <c r="W38" s="1"/>
  <c r="W39" s="1"/>
  <c r="W40" s="1"/>
  <c r="W41" s="1"/>
  <c r="W42" s="1"/>
  <c r="W43" s="1"/>
  <c r="W44" s="1"/>
  <c r="W45" s="1"/>
  <c r="W46" s="1"/>
  <c r="W47" s="1"/>
  <c r="W48" s="1"/>
  <c r="W49" s="1"/>
  <c r="W50" s="1"/>
  <c r="O11"/>
  <c r="F6" i="6" l="1"/>
  <c r="F7"/>
  <c r="F8"/>
  <c r="F9"/>
  <c r="F11"/>
  <c r="F16" s="1"/>
  <c r="F12"/>
  <c r="F13"/>
  <c r="F15"/>
  <c r="E18"/>
  <c r="C6" i="3" s="1"/>
  <c r="E20" i="6"/>
  <c r="E21"/>
  <c r="E22"/>
  <c r="E23"/>
  <c r="E24"/>
  <c r="E25"/>
  <c r="E26"/>
  <c r="E27"/>
  <c r="E41" s="1"/>
  <c r="E28"/>
  <c r="H6"/>
  <c r="H7"/>
  <c r="H8"/>
  <c r="H9"/>
  <c r="H11"/>
  <c r="H16" s="1"/>
  <c r="H12"/>
  <c r="H13"/>
  <c r="H15"/>
  <c r="I18"/>
  <c r="G6" i="3" s="1"/>
  <c r="I20" i="6"/>
  <c r="I21"/>
  <c r="I22"/>
  <c r="I23"/>
  <c r="I24"/>
  <c r="I25"/>
  <c r="I26"/>
  <c r="I27"/>
  <c r="I41" s="1"/>
  <c r="N28"/>
  <c r="L28"/>
  <c r="O27"/>
  <c r="M27"/>
  <c r="K27"/>
  <c r="N26"/>
  <c r="L26"/>
  <c r="O25"/>
  <c r="M25"/>
  <c r="K25"/>
  <c r="N24"/>
  <c r="L24"/>
  <c r="O23"/>
  <c r="M23"/>
  <c r="K23"/>
  <c r="N22"/>
  <c r="L22"/>
  <c r="O21"/>
  <c r="M21"/>
  <c r="K21"/>
  <c r="N20"/>
  <c r="L20"/>
  <c r="N18"/>
  <c r="L18"/>
  <c r="N15"/>
  <c r="L15"/>
  <c r="L6"/>
  <c r="K7"/>
  <c r="O7"/>
  <c r="N8"/>
  <c r="M9"/>
  <c r="K11"/>
  <c r="L12"/>
  <c r="K13"/>
  <c r="M13"/>
  <c r="O15"/>
  <c r="N6"/>
  <c r="M7"/>
  <c r="L8"/>
  <c r="K9"/>
  <c r="O9"/>
  <c r="M11"/>
  <c r="O11"/>
  <c r="N12"/>
  <c r="O13"/>
  <c r="K15"/>
  <c r="M18"/>
  <c r="K20"/>
  <c r="O20"/>
  <c r="N21"/>
  <c r="M22"/>
  <c r="M51" s="1"/>
  <c r="L23"/>
  <c r="K24"/>
  <c r="O24"/>
  <c r="N25"/>
  <c r="M26"/>
  <c r="L27"/>
  <c r="K28"/>
  <c r="O28"/>
  <c r="K6"/>
  <c r="M6"/>
  <c r="O6"/>
  <c r="L7"/>
  <c r="N7"/>
  <c r="K8"/>
  <c r="M8"/>
  <c r="O8"/>
  <c r="L9"/>
  <c r="N9"/>
  <c r="L11"/>
  <c r="N11"/>
  <c r="K12"/>
  <c r="M12"/>
  <c r="O12"/>
  <c r="L13"/>
  <c r="N13"/>
  <c r="M15"/>
  <c r="K18"/>
  <c r="O18"/>
  <c r="M20"/>
  <c r="L21"/>
  <c r="K22"/>
  <c r="K51" s="1"/>
  <c r="O22"/>
  <c r="O51" s="1"/>
  <c r="N23"/>
  <c r="M24"/>
  <c r="L25"/>
  <c r="L44" s="1"/>
  <c r="K26"/>
  <c r="O26"/>
  <c r="N27"/>
  <c r="M28"/>
  <c r="H28"/>
  <c r="F28"/>
  <c r="H27"/>
  <c r="F27"/>
  <c r="H26"/>
  <c r="F26"/>
  <c r="H25"/>
  <c r="F25"/>
  <c r="H24"/>
  <c r="F24"/>
  <c r="H23"/>
  <c r="F23"/>
  <c r="H22"/>
  <c r="F22"/>
  <c r="H21"/>
  <c r="F21"/>
  <c r="H20"/>
  <c r="F20"/>
  <c r="H18"/>
  <c r="F18"/>
  <c r="E6"/>
  <c r="G6"/>
  <c r="I6"/>
  <c r="E7"/>
  <c r="G7"/>
  <c r="I7"/>
  <c r="E8"/>
  <c r="G8"/>
  <c r="I8"/>
  <c r="E9"/>
  <c r="G9"/>
  <c r="I9"/>
  <c r="E11"/>
  <c r="G11"/>
  <c r="I11"/>
  <c r="E12"/>
  <c r="G12"/>
  <c r="I12"/>
  <c r="E13"/>
  <c r="G13"/>
  <c r="I13"/>
  <c r="E15"/>
  <c r="G15"/>
  <c r="I15"/>
  <c r="G18"/>
  <c r="G20"/>
  <c r="G21"/>
  <c r="G22"/>
  <c r="G23"/>
  <c r="G24"/>
  <c r="G25"/>
  <c r="G26"/>
  <c r="G27"/>
  <c r="G28"/>
  <c r="K34" l="1"/>
  <c r="M47"/>
  <c r="M34"/>
  <c r="I50"/>
  <c r="E50"/>
  <c r="G50"/>
  <c r="L50"/>
  <c r="L46"/>
  <c r="I43"/>
  <c r="E43"/>
  <c r="I47"/>
  <c r="E47"/>
  <c r="I46"/>
  <c r="E46"/>
  <c r="F36"/>
  <c r="F14"/>
  <c r="I40"/>
  <c r="G8" i="3" s="1"/>
  <c r="I39" i="6"/>
  <c r="H47"/>
  <c r="H32"/>
  <c r="F10"/>
  <c r="H33"/>
  <c r="G44"/>
  <c r="I42"/>
  <c r="I48"/>
  <c r="E48"/>
  <c r="H44"/>
  <c r="E40"/>
  <c r="C8" i="3" s="1"/>
  <c r="I51" i="6"/>
  <c r="I19"/>
  <c r="H37"/>
  <c r="H10"/>
  <c r="E51"/>
  <c r="E19"/>
  <c r="F33"/>
  <c r="M39"/>
  <c r="M48"/>
  <c r="N46"/>
  <c r="O34"/>
  <c r="N50"/>
  <c r="N47"/>
  <c r="N48"/>
  <c r="F44"/>
  <c r="E39"/>
  <c r="G51"/>
  <c r="G39"/>
  <c r="I55"/>
  <c r="O47"/>
  <c r="M46"/>
  <c r="N51"/>
  <c r="H36"/>
  <c r="F32"/>
  <c r="E44"/>
  <c r="H14"/>
  <c r="H34"/>
  <c r="F37"/>
  <c r="F34"/>
  <c r="L37"/>
  <c r="L16"/>
  <c r="L14" s="1"/>
  <c r="L10"/>
  <c r="K39"/>
  <c r="M16"/>
  <c r="M14" s="1"/>
  <c r="M37"/>
  <c r="M10"/>
  <c r="K36"/>
  <c r="K33"/>
  <c r="K32"/>
  <c r="K16"/>
  <c r="K14" s="1"/>
  <c r="K10"/>
  <c r="K37"/>
  <c r="K46"/>
  <c r="D7" i="3"/>
  <c r="L53" i="6"/>
  <c r="L19"/>
  <c r="L39"/>
  <c r="K50"/>
  <c r="O50"/>
  <c r="K44"/>
  <c r="O44"/>
  <c r="M55"/>
  <c r="M43"/>
  <c r="M41"/>
  <c r="M42"/>
  <c r="L54"/>
  <c r="L40"/>
  <c r="D9" i="3" s="1"/>
  <c r="M54" i="6"/>
  <c r="M40"/>
  <c r="E9" i="3" s="1"/>
  <c r="C7"/>
  <c r="K19" i="6"/>
  <c r="K47"/>
  <c r="L32"/>
  <c r="L33"/>
  <c r="L36"/>
  <c r="K40"/>
  <c r="C9" i="3" s="1"/>
  <c r="N55" i="6"/>
  <c r="N43"/>
  <c r="N42"/>
  <c r="N41"/>
  <c r="G7" i="3"/>
  <c r="O53" i="6"/>
  <c r="O19"/>
  <c r="N37"/>
  <c r="N16"/>
  <c r="N14" s="1"/>
  <c r="N10"/>
  <c r="N32"/>
  <c r="N36"/>
  <c r="N33"/>
  <c r="O48"/>
  <c r="K48"/>
  <c r="O54"/>
  <c r="O40"/>
  <c r="G9" i="3" s="1"/>
  <c r="L55" i="6"/>
  <c r="L43"/>
  <c r="L42"/>
  <c r="L41"/>
  <c r="N44"/>
  <c r="O39"/>
  <c r="E7" i="3"/>
  <c r="M53" i="6"/>
  <c r="M19"/>
  <c r="O16"/>
  <c r="O14" s="1"/>
  <c r="O10"/>
  <c r="O37"/>
  <c r="O36"/>
  <c r="O33"/>
  <c r="O32"/>
  <c r="L48"/>
  <c r="N34"/>
  <c r="L47"/>
  <c r="M36"/>
  <c r="M33"/>
  <c r="M32"/>
  <c r="O46"/>
  <c r="L34"/>
  <c r="F7" i="3"/>
  <c r="N53" i="6"/>
  <c r="N19"/>
  <c r="N39"/>
  <c r="M50"/>
  <c r="L51"/>
  <c r="M44"/>
  <c r="K43"/>
  <c r="K41"/>
  <c r="K42"/>
  <c r="O55"/>
  <c r="O43"/>
  <c r="O41"/>
  <c r="O42"/>
  <c r="N54"/>
  <c r="N40"/>
  <c r="F9" i="3" s="1"/>
  <c r="G40" i="6"/>
  <c r="E8" i="3" s="1"/>
  <c r="G54" i="6"/>
  <c r="G37"/>
  <c r="G16"/>
  <c r="G14" s="1"/>
  <c r="G10"/>
  <c r="I36"/>
  <c r="I33"/>
  <c r="I32"/>
  <c r="E36"/>
  <c r="E33"/>
  <c r="E32"/>
  <c r="G48"/>
  <c r="G34"/>
  <c r="F53"/>
  <c r="F19"/>
  <c r="D6" i="3"/>
  <c r="F39" i="6"/>
  <c r="F50"/>
  <c r="F51"/>
  <c r="F55"/>
  <c r="F42"/>
  <c r="F43"/>
  <c r="F41"/>
  <c r="F54"/>
  <c r="F40"/>
  <c r="D8" i="3" s="1"/>
  <c r="I53" i="6"/>
  <c r="F46"/>
  <c r="F48"/>
  <c r="G43"/>
  <c r="G42"/>
  <c r="G41"/>
  <c r="G55"/>
  <c r="E6" i="3"/>
  <c r="G53" i="6"/>
  <c r="G19"/>
  <c r="G47"/>
  <c r="I37"/>
  <c r="I10"/>
  <c r="I16"/>
  <c r="I14" s="1"/>
  <c r="E37"/>
  <c r="E16"/>
  <c r="E14" s="1"/>
  <c r="E10"/>
  <c r="G36"/>
  <c r="G33"/>
  <c r="G32"/>
  <c r="G46"/>
  <c r="I34"/>
  <c r="E34"/>
  <c r="H53"/>
  <c r="H19"/>
  <c r="F6" i="3"/>
  <c r="H39" i="6"/>
  <c r="H50"/>
  <c r="H51"/>
  <c r="H55"/>
  <c r="H43"/>
  <c r="H41"/>
  <c r="H42"/>
  <c r="H54"/>
  <c r="H40"/>
  <c r="F8" i="3" s="1"/>
  <c r="I54" i="6"/>
  <c r="E42"/>
  <c r="I44"/>
  <c r="H48"/>
  <c r="F47"/>
  <c r="H46"/>
  <c r="F56" l="1"/>
  <c r="H56"/>
  <c r="L56"/>
  <c r="I56"/>
  <c r="O56"/>
  <c r="N56"/>
  <c r="M56"/>
  <c r="G56"/>
</calcChain>
</file>

<file path=xl/sharedStrings.xml><?xml version="1.0" encoding="utf-8"?>
<sst xmlns="http://schemas.openxmlformats.org/spreadsheetml/2006/main" count="2412" uniqueCount="705">
  <si>
    <t>USD</t>
  </si>
  <si>
    <t>&lt;-- Currency Selected in the Report #2</t>
  </si>
  <si>
    <t>CNHI</t>
  </si>
  <si>
    <t>&lt;- Select the Company</t>
  </si>
  <si>
    <t>DEERE</t>
  </si>
  <si>
    <t>Indicators</t>
  </si>
  <si>
    <t>Formula</t>
  </si>
  <si>
    <t>Amounts in Billions</t>
  </si>
  <si>
    <t>FIAT</t>
  </si>
  <si>
    <t>Cash &amp; Short Term Investments</t>
  </si>
  <si>
    <t>VOLKS</t>
  </si>
  <si>
    <t>Accounts Receivables, Net</t>
  </si>
  <si>
    <t>FORD</t>
  </si>
  <si>
    <t>Inventories</t>
  </si>
  <si>
    <t>GMC</t>
  </si>
  <si>
    <t>Total Current Assets</t>
  </si>
  <si>
    <t>TOYOTA</t>
  </si>
  <si>
    <t>Total non-current Assets</t>
  </si>
  <si>
    <t>Total Assets</t>
  </si>
  <si>
    <t>CAT</t>
  </si>
  <si>
    <t>Accounts Payable</t>
  </si>
  <si>
    <t>Total Current Liabilities</t>
  </si>
  <si>
    <t>PETR</t>
  </si>
  <si>
    <t>Total non-current Liabilities</t>
  </si>
  <si>
    <t>BP-OIL</t>
  </si>
  <si>
    <t>Total Equity</t>
  </si>
  <si>
    <t>SHELL</t>
  </si>
  <si>
    <t>Total Liabilities &amp; Equity</t>
  </si>
  <si>
    <t>EXXOM</t>
  </si>
  <si>
    <t>VALE</t>
  </si>
  <si>
    <t>Sales/Revenue</t>
  </si>
  <si>
    <t>USIM</t>
  </si>
  <si>
    <t>COGS</t>
  </si>
  <si>
    <t>CSN</t>
  </si>
  <si>
    <t>Gross Income</t>
  </si>
  <si>
    <t>GERDAU</t>
  </si>
  <si>
    <t>SG&amp;A Expense</t>
  </si>
  <si>
    <t>ARCELOR</t>
  </si>
  <si>
    <t>Research &amp; Development</t>
  </si>
  <si>
    <t>LAFARGE</t>
  </si>
  <si>
    <t>Other SG&amp;A</t>
  </si>
  <si>
    <t>ANGLO</t>
  </si>
  <si>
    <t>Non-Operating Interest Income</t>
  </si>
  <si>
    <t>MAGNA</t>
  </si>
  <si>
    <t>Interest Expense</t>
  </si>
  <si>
    <t>LEAR</t>
  </si>
  <si>
    <t>Pretax Income</t>
  </si>
  <si>
    <t>DENSO</t>
  </si>
  <si>
    <t>Net Income</t>
  </si>
  <si>
    <t>BIO-RAD</t>
  </si>
  <si>
    <t>EBITDA</t>
  </si>
  <si>
    <t>Current Ratio =</t>
  </si>
  <si>
    <t>Current Assets / Current Liabilities</t>
  </si>
  <si>
    <t>Quick Ratio =</t>
  </si>
  <si>
    <t>(CA - Inventories) / Current Liabilities</t>
  </si>
  <si>
    <t>Cash Ratio =</t>
  </si>
  <si>
    <t>Cash &amp; Equivalents / Current Liabilities</t>
  </si>
  <si>
    <t>Working Capital =</t>
  </si>
  <si>
    <t>Current Assets - Current Liabilities</t>
  </si>
  <si>
    <t>Level of Debt =</t>
  </si>
  <si>
    <t>(CL+NCL) / Total Assets</t>
  </si>
  <si>
    <t>Gross Margin % =</t>
  </si>
  <si>
    <t>Gross Income / Net Revenue</t>
  </si>
  <si>
    <t>Ebitda Margin %=</t>
  </si>
  <si>
    <t>EBITDA / Net Revenue</t>
  </si>
  <si>
    <t>Net Income % =</t>
  </si>
  <si>
    <t>Net Income / Net Revenue</t>
  </si>
  <si>
    <t>ROA (Return on Assets) =</t>
  </si>
  <si>
    <t>Net Income / Total Assets</t>
  </si>
  <si>
    <t>ROE (Return on Equity) =</t>
  </si>
  <si>
    <t>Net Income / Equity</t>
  </si>
  <si>
    <t>IOD (Interest on Debt) =</t>
  </si>
  <si>
    <t>Interest / (CL + NCL)</t>
  </si>
  <si>
    <t>Receivables DSO =</t>
  </si>
  <si>
    <t>Acc. Receivables / Net Revenue x 360</t>
  </si>
  <si>
    <t>Payables DSO =</t>
  </si>
  <si>
    <t>Acc. Payables / Net Revenue x 360</t>
  </si>
  <si>
    <t>Inventories DSO =</t>
  </si>
  <si>
    <t>Inventories / Net Revenue x 360</t>
  </si>
  <si>
    <t>SG&amp;A% =</t>
  </si>
  <si>
    <t>SG&amp;A / Net Revenue</t>
  </si>
  <si>
    <t>R&amp;D% =</t>
  </si>
  <si>
    <t>R&amp;D / Net Revenue</t>
  </si>
  <si>
    <t>Sales Growth (%)</t>
  </si>
  <si>
    <t>(Sales CY / Sales PY) - 1</t>
  </si>
  <si>
    <t>EBITDA Growth (%)</t>
  </si>
  <si>
    <t>(EBITDA CY / EBITDA PY) -1</t>
  </si>
  <si>
    <t>Net Income Growth (%)</t>
  </si>
  <si>
    <t>(NI CY / NI PY) -1</t>
  </si>
  <si>
    <t>Operational Leverage Degree</t>
  </si>
  <si>
    <t>Note: CA = Current Assets, CL = Current Liabilities, NCL = Non-Current Liabilities, DSO = Days of Sales Outstanding</t>
  </si>
  <si>
    <t>NI = Net Income, CY = Current Year, PY = Prior Year</t>
  </si>
  <si>
    <t>Data source: www.marketwatch.com</t>
  </si>
  <si>
    <t>Indicator</t>
  </si>
  <si>
    <t>Spreadsheet</t>
  </si>
  <si>
    <t>Range ("BC:EC")</t>
  </si>
  <si>
    <t>Selection in Excel</t>
  </si>
  <si>
    <t>Slide Parameters</t>
  </si>
  <si>
    <t>Location</t>
  </si>
  <si>
    <t>Top</t>
  </si>
  <si>
    <t>Left</t>
  </si>
  <si>
    <t>Size</t>
  </si>
  <si>
    <t>Height</t>
  </si>
  <si>
    <t>Width</t>
  </si>
  <si>
    <t>Title</t>
  </si>
  <si>
    <t>B3:O28</t>
  </si>
  <si>
    <t>Graphic Name</t>
  </si>
  <si>
    <t>Grafico</t>
  </si>
  <si>
    <t>Process Until row:</t>
  </si>
  <si>
    <t>&lt;-- Select the Year</t>
  </si>
  <si>
    <t>BRL</t>
  </si>
  <si>
    <t>&lt;-- Select the Currency</t>
  </si>
  <si>
    <t>AUTOMAKERS</t>
  </si>
  <si>
    <t>HEAVY EQUIPMENTS</t>
  </si>
  <si>
    <t>AUTOMOTIVE SUPPLIER</t>
  </si>
  <si>
    <t>PETROLEUM</t>
  </si>
  <si>
    <t>MINING AND STEEL PRODUCTION</t>
  </si>
  <si>
    <t>Spreadsheets</t>
  </si>
  <si>
    <t>RESUMO#2</t>
  </si>
  <si>
    <t>Companies</t>
  </si>
  <si>
    <t>Statement</t>
  </si>
  <si>
    <t>Account Description</t>
  </si>
  <si>
    <t>RESUMO#1</t>
  </si>
  <si>
    <t>EUR</t>
  </si>
  <si>
    <t>FS-2013</t>
  </si>
  <si>
    <t>BS</t>
  </si>
  <si>
    <t>ok</t>
  </si>
  <si>
    <t>Update again</t>
  </si>
  <si>
    <t>TABLE</t>
  </si>
  <si>
    <t>DATA</t>
  </si>
  <si>
    <t>FIAT-BS</t>
  </si>
  <si>
    <t>GBP</t>
  </si>
  <si>
    <t>FIAT-IS</t>
  </si>
  <si>
    <t>JPY</t>
  </si>
  <si>
    <t>FIAT-CF</t>
  </si>
  <si>
    <t>CAD</t>
  </si>
  <si>
    <t>PETR-IS</t>
  </si>
  <si>
    <t>PETR-BS</t>
  </si>
  <si>
    <t>PETR-CF</t>
  </si>
  <si>
    <t>VALE-IS</t>
  </si>
  <si>
    <t>VALE-BS</t>
  </si>
  <si>
    <t>VALE-CF</t>
  </si>
  <si>
    <t>USIM-IS</t>
  </si>
  <si>
    <t>USIM-BS</t>
  </si>
  <si>
    <t>USIM-CF</t>
  </si>
  <si>
    <t>Net Financial Expenses</t>
  </si>
  <si>
    <t>VOLKS-IS</t>
  </si>
  <si>
    <t>VOLKS-BS</t>
  </si>
  <si>
    <t>VOLKS-CF</t>
  </si>
  <si>
    <t>MAGNESITA</t>
  </si>
  <si>
    <t>FORD-IS</t>
  </si>
  <si>
    <t>FORD-BS</t>
  </si>
  <si>
    <t>FORD-CF</t>
  </si>
  <si>
    <t>GMC-IS</t>
  </si>
  <si>
    <t>GMC-BS</t>
  </si>
  <si>
    <t>GMC-CF</t>
  </si>
  <si>
    <t>CSN-IS</t>
  </si>
  <si>
    <t>CSN-BS</t>
  </si>
  <si>
    <t>CSN-CF</t>
  </si>
  <si>
    <t>GERDAU-IS</t>
  </si>
  <si>
    <t>GERDAU-BS</t>
  </si>
  <si>
    <t>GERDAU-CF</t>
  </si>
  <si>
    <t>ARCELOR-IS</t>
  </si>
  <si>
    <t>ARCELOR-BS</t>
  </si>
  <si>
    <t>ARCELOR-CF</t>
  </si>
  <si>
    <t>CNHI-IS</t>
  </si>
  <si>
    <t>CNHI-BS</t>
  </si>
  <si>
    <t>CNHI-CF</t>
  </si>
  <si>
    <t>CAT-IS</t>
  </si>
  <si>
    <t>CAT-BS</t>
  </si>
  <si>
    <t>CAT-CF</t>
  </si>
  <si>
    <t>DEERE-IS</t>
  </si>
  <si>
    <t>DEERE-BS</t>
  </si>
  <si>
    <t>DEERE-CF</t>
  </si>
  <si>
    <t>TOYOTA-IS</t>
  </si>
  <si>
    <t>TOYOTA-BS</t>
  </si>
  <si>
    <t>TOYOTA-CF</t>
  </si>
  <si>
    <t>BP-OIL-IS</t>
  </si>
  <si>
    <t>BP-OIL-BS</t>
  </si>
  <si>
    <t>BP-OIL-CF</t>
  </si>
  <si>
    <t>SHELL-IS</t>
  </si>
  <si>
    <t>SHELL-BS</t>
  </si>
  <si>
    <t>SHELL-CF</t>
  </si>
  <si>
    <t>EXXOM-IS</t>
  </si>
  <si>
    <t>EXXOM-BS</t>
  </si>
  <si>
    <t>EXXOM-CF</t>
  </si>
  <si>
    <t>LAFARGE-IS</t>
  </si>
  <si>
    <t>LAFARGE-BS</t>
  </si>
  <si>
    <t>LAFARGE-CF</t>
  </si>
  <si>
    <t>ANGLO-IS</t>
  </si>
  <si>
    <t>ANGLO-BS</t>
  </si>
  <si>
    <t>ANGLO-CF</t>
  </si>
  <si>
    <t>MAGNA-IS</t>
  </si>
  <si>
    <t>MAGNA-BS</t>
  </si>
  <si>
    <t>MAGNA-CF</t>
  </si>
  <si>
    <t>LEAR-IS</t>
  </si>
  <si>
    <t>LEAR-BS</t>
  </si>
  <si>
    <t>LEAR-CF</t>
  </si>
  <si>
    <t>DENSO-IS</t>
  </si>
  <si>
    <t>DENSO-BS</t>
  </si>
  <si>
    <t>DENSO-CF</t>
  </si>
  <si>
    <t>MAGNESITA-IS</t>
  </si>
  <si>
    <t>MAGNESITA-BS</t>
  </si>
  <si>
    <t>MAGNESITA-CF</t>
  </si>
  <si>
    <t>INFORMATION IN LOCAL CURRENCY</t>
  </si>
  <si>
    <t>Company</t>
  </si>
  <si>
    <t>Account</t>
  </si>
  <si>
    <t>KEY</t>
  </si>
  <si>
    <t>LC</t>
  </si>
  <si>
    <t>D. CURR</t>
  </si>
  <si>
    <t>FIAT#Cash &amp; Short Term Investments</t>
  </si>
  <si>
    <t>FIAT#Accounts Receivables, Net</t>
  </si>
  <si>
    <t>FIAT#Inventories</t>
  </si>
  <si>
    <t>FIAT#Total Current Assets</t>
  </si>
  <si>
    <t>FIAT#Total Assets</t>
  </si>
  <si>
    <t>FIAT#Total Current Liabilities</t>
  </si>
  <si>
    <t>FIAT#Accounts Payable</t>
  </si>
  <si>
    <t>FIAT#Total Equity</t>
  </si>
  <si>
    <t>FIAT#Sales/Revenue</t>
  </si>
  <si>
    <t>FIAT#Gross Income</t>
  </si>
  <si>
    <t>FIAT#Net Income</t>
  </si>
  <si>
    <t>FIAT#EBITDA</t>
  </si>
  <si>
    <t>FIAT#Interest Expense</t>
  </si>
  <si>
    <t>FIAT#Non-Operating Interest Income</t>
  </si>
  <si>
    <t>FIAT#Net Financial Expenses</t>
  </si>
  <si>
    <t>FIAT#SG&amp;A Expense</t>
  </si>
  <si>
    <t>FIAT#Research &amp; Development</t>
  </si>
  <si>
    <t>FIAT#Other SG&amp;A</t>
  </si>
  <si>
    <t>FIAT#Pretax Income</t>
  </si>
  <si>
    <t>VOLKS#Cash &amp; Short Term Investments</t>
  </si>
  <si>
    <t>VOLKS#Accounts Receivables, Net</t>
  </si>
  <si>
    <t>VOLKS#Inventories</t>
  </si>
  <si>
    <t>VOLKS#Total Current Assets</t>
  </si>
  <si>
    <t>VOLKS#Total Assets</t>
  </si>
  <si>
    <t>VOLKS#Total Current Liabilities</t>
  </si>
  <si>
    <t>VOLKS#Accounts Payable</t>
  </si>
  <si>
    <t>VOLKS#Total Equity</t>
  </si>
  <si>
    <t>VOLKS#Sales/Revenue</t>
  </si>
  <si>
    <t>VOLKS#Gross Income</t>
  </si>
  <si>
    <t>VOLKS#Net Income</t>
  </si>
  <si>
    <t>VOLKS#EBITDA</t>
  </si>
  <si>
    <t>VOLKS#Interest Expense</t>
  </si>
  <si>
    <t>VOLKS#Non-Operating Interest Income</t>
  </si>
  <si>
    <t>VOLKS#Net Financial Expenses</t>
  </si>
  <si>
    <t>VOLKS#SG&amp;A Expense</t>
  </si>
  <si>
    <t>VOLKS#Research &amp; Development</t>
  </si>
  <si>
    <t>VOLKS#Other SG&amp;A</t>
  </si>
  <si>
    <t>VOLKS#Pretax Income</t>
  </si>
  <si>
    <t>FORD#Cash &amp; Short Term Investments</t>
  </si>
  <si>
    <t>FORD#Accounts Receivables, Net</t>
  </si>
  <si>
    <t>FORD#Inventories</t>
  </si>
  <si>
    <t>FORD#Total Current Assets</t>
  </si>
  <si>
    <t>FORD#Total Assets</t>
  </si>
  <si>
    <t>FORD#Total Current Liabilities</t>
  </si>
  <si>
    <t>FORD#Accounts Payable</t>
  </si>
  <si>
    <t>FORD#Total Equity</t>
  </si>
  <si>
    <t>FORD#Sales/Revenue</t>
  </si>
  <si>
    <t>FORD#Gross Income</t>
  </si>
  <si>
    <t>FORD#Net Income</t>
  </si>
  <si>
    <t>FORD#EBITDA</t>
  </si>
  <si>
    <t>FORD#Interest Expense</t>
  </si>
  <si>
    <t>FORD#Non-Operating Interest Income</t>
  </si>
  <si>
    <t>FORD#Net Financial Expenses</t>
  </si>
  <si>
    <t>FORD#SG&amp;A Expense</t>
  </si>
  <si>
    <t>FORD#Research &amp; Development</t>
  </si>
  <si>
    <t>FORD#Other SG&amp;A</t>
  </si>
  <si>
    <t>FORD#Pretax Income</t>
  </si>
  <si>
    <t>GMC#Cash &amp; Short Term Investments</t>
  </si>
  <si>
    <t>GMC#Accounts Receivables, Net</t>
  </si>
  <si>
    <t>GMC#Inventories</t>
  </si>
  <si>
    <t>GMC#Total Current Assets</t>
  </si>
  <si>
    <t>GMC#Total Assets</t>
  </si>
  <si>
    <t>GMC#Total Current Liabilities</t>
  </si>
  <si>
    <t>GMC#Accounts Payable</t>
  </si>
  <si>
    <t>GMC#Total Equity</t>
  </si>
  <si>
    <t>GMC#Sales/Revenue</t>
  </si>
  <si>
    <t>GMC#Gross Income</t>
  </si>
  <si>
    <t>GMC#Net Income</t>
  </si>
  <si>
    <t>GMC#EBITDA</t>
  </si>
  <si>
    <t>GMC#Interest Expense</t>
  </si>
  <si>
    <t>GMC#Non-Operating Interest Income</t>
  </si>
  <si>
    <t>GMC#Net Financial Expenses</t>
  </si>
  <si>
    <t>GMC#SG&amp;A Expense</t>
  </si>
  <si>
    <t>GMC#Research &amp; Development</t>
  </si>
  <si>
    <t>GMC#Other SG&amp;A</t>
  </si>
  <si>
    <t>GMC#Pretax Income</t>
  </si>
  <si>
    <t>TOYOTA#Cash &amp; Short Term Investments</t>
  </si>
  <si>
    <t>TOYOTA#Accounts Receivables, Net</t>
  </si>
  <si>
    <t>TOYOTA#Inventories</t>
  </si>
  <si>
    <t>TOYOTA#Total Current Assets</t>
  </si>
  <si>
    <t>TOYOTA#Total Assets</t>
  </si>
  <si>
    <t>TOYOTA#Total Current Liabilities</t>
  </si>
  <si>
    <t>TOYOTA#Accounts Payable</t>
  </si>
  <si>
    <t>TOYOTA#Total Equity</t>
  </si>
  <si>
    <t>TOYOTA#Sales/Revenue</t>
  </si>
  <si>
    <t>TOYOTA#Gross Income</t>
  </si>
  <si>
    <t>TOYOTA#Net Income</t>
  </si>
  <si>
    <t>TOYOTA#EBITDA</t>
  </si>
  <si>
    <t>TOYOTA#Interest Expense</t>
  </si>
  <si>
    <t>TOYOTA#Non-Operating Interest Income</t>
  </si>
  <si>
    <t>TOYOTA#Net Financial Expenses</t>
  </si>
  <si>
    <t>TOYOTA#SG&amp;A Expense</t>
  </si>
  <si>
    <t>TOYOTA#Research &amp; Development</t>
  </si>
  <si>
    <t>TOYOTA#Other SG&amp;A</t>
  </si>
  <si>
    <t>TOYOTA#Pretax Income</t>
  </si>
  <si>
    <t>CNHI#Cash &amp; Short Term Investments</t>
  </si>
  <si>
    <t>CNHI#Accounts Receivables, Net</t>
  </si>
  <si>
    <t>CNHI#Inventories</t>
  </si>
  <si>
    <t>CNHI#Total Current Assets</t>
  </si>
  <si>
    <t>CNHI#Total Assets</t>
  </si>
  <si>
    <t>CNHI#Total Current Liabilities</t>
  </si>
  <si>
    <t>CNHI#Accounts Payable</t>
  </si>
  <si>
    <t>CNHI#Total Equity</t>
  </si>
  <si>
    <t>CNHI#Sales/Revenue</t>
  </si>
  <si>
    <t>CNHI#Gross Income</t>
  </si>
  <si>
    <t>CNHI#Net Income</t>
  </si>
  <si>
    <t>CNHI#EBITDA</t>
  </si>
  <si>
    <t>CNHI#Interest Expense</t>
  </si>
  <si>
    <t>CNHI#Non-Operating Interest Income</t>
  </si>
  <si>
    <t>CNHI#Net Financial Expenses</t>
  </si>
  <si>
    <t>CNHI#SG&amp;A Expense</t>
  </si>
  <si>
    <t>CNHI#Research &amp; Development</t>
  </si>
  <si>
    <t>CNHI#Other SG&amp;A</t>
  </si>
  <si>
    <t>CNHI#Pretax Income</t>
  </si>
  <si>
    <t>CAT#Cash &amp; Short Term Investments</t>
  </si>
  <si>
    <t>CAT#Accounts Receivables, Net</t>
  </si>
  <si>
    <t>CAT#Inventories</t>
  </si>
  <si>
    <t>CAT#Total Current Assets</t>
  </si>
  <si>
    <t>CAT#Total Assets</t>
  </si>
  <si>
    <t>CAT#Total Current Liabilities</t>
  </si>
  <si>
    <t>CAT#Accounts Payable</t>
  </si>
  <si>
    <t>CAT#Total Equity</t>
  </si>
  <si>
    <t>CAT#Sales/Revenue</t>
  </si>
  <si>
    <t>CAT#Gross Income</t>
  </si>
  <si>
    <t>CAT#Net Income</t>
  </si>
  <si>
    <t>CAT#EBITDA</t>
  </si>
  <si>
    <t>CAT#Interest Expense</t>
  </si>
  <si>
    <t>CAT#Non-Operating Interest Income</t>
  </si>
  <si>
    <t>CAT#Net Financial Expenses</t>
  </si>
  <si>
    <t>CAT#SG&amp;A Expense</t>
  </si>
  <si>
    <t>CAT#Research &amp; Development</t>
  </si>
  <si>
    <t>CAT#Other SG&amp;A</t>
  </si>
  <si>
    <t>CAT#Pretax Income</t>
  </si>
  <si>
    <t>DEERE#Cash &amp; Short Term Investments</t>
  </si>
  <si>
    <t>DEERE#Accounts Receivables, Net</t>
  </si>
  <si>
    <t>DEERE#Inventories</t>
  </si>
  <si>
    <t>DEERE#Total Current Assets</t>
  </si>
  <si>
    <t>DEERE#Total Assets</t>
  </si>
  <si>
    <t>DEERE#Total Current Liabilities</t>
  </si>
  <si>
    <t>DEERE#Accounts Payable</t>
  </si>
  <si>
    <t>DEERE#Total Equity</t>
  </si>
  <si>
    <t>DEERE#Sales/Revenue</t>
  </si>
  <si>
    <t>DEERE#Gross Income</t>
  </si>
  <si>
    <t>DEERE#Net Income</t>
  </si>
  <si>
    <t>DEERE#EBITDA</t>
  </si>
  <si>
    <t>DEERE#Interest Expense</t>
  </si>
  <si>
    <t>DEERE#Non-Operating Interest Income</t>
  </si>
  <si>
    <t>DEERE#Net Financial Expenses</t>
  </si>
  <si>
    <t>DEERE#SG&amp;A Expense</t>
  </si>
  <si>
    <t>DEERE#Research &amp; Development</t>
  </si>
  <si>
    <t>DEERE#Other SG&amp;A</t>
  </si>
  <si>
    <t>DEERE#Pretax Income</t>
  </si>
  <si>
    <t>PETR#Cash &amp; Short Term Investments</t>
  </si>
  <si>
    <t>PETR#Accounts Receivables, Net</t>
  </si>
  <si>
    <t>PETR#Inventories</t>
  </si>
  <si>
    <t>PETR#Total Current Assets</t>
  </si>
  <si>
    <t>PETR#Total Assets</t>
  </si>
  <si>
    <t>PETR#Total Current Liabilities</t>
  </si>
  <si>
    <t>PETR#Accounts Payable</t>
  </si>
  <si>
    <t>PETR#Total Equity</t>
  </si>
  <si>
    <t>PETR#Sales/Revenue</t>
  </si>
  <si>
    <t>PETR#Gross Income</t>
  </si>
  <si>
    <t>PETR#Net Income</t>
  </si>
  <si>
    <t>PETR#EBITDA</t>
  </si>
  <si>
    <t>PETR#Interest Expense</t>
  </si>
  <si>
    <t>PETR#Non-Operating Interest Income</t>
  </si>
  <si>
    <t>PETR#Net Financial Expenses</t>
  </si>
  <si>
    <t>PETR#SG&amp;A Expense</t>
  </si>
  <si>
    <t>PETR#Research &amp; Development</t>
  </si>
  <si>
    <t>PETR#Other SG&amp;A</t>
  </si>
  <si>
    <t>PETR#Pretax Income</t>
  </si>
  <si>
    <t>BP-OIL#Cash &amp; Short Term Investments</t>
  </si>
  <si>
    <t>BP-OIL#Accounts Receivables, Net</t>
  </si>
  <si>
    <t>BP-OIL#Inventories</t>
  </si>
  <si>
    <t>BP-OIL#Total Current Assets</t>
  </si>
  <si>
    <t>BP-OIL#Total Assets</t>
  </si>
  <si>
    <t>BP-OIL#Total Current Liabilities</t>
  </si>
  <si>
    <t>BP-OIL#Accounts Payable</t>
  </si>
  <si>
    <t>BP-OIL#Total Equity</t>
  </si>
  <si>
    <t>BP-OIL#Sales/Revenue</t>
  </si>
  <si>
    <t>BP-OIL#Gross Income</t>
  </si>
  <si>
    <t>BP-OIL#Net Income</t>
  </si>
  <si>
    <t>BP-OIL#EBITDA</t>
  </si>
  <si>
    <t>BP-OIL#Interest Expense</t>
  </si>
  <si>
    <t>BP-OIL#Non-Operating Interest Income</t>
  </si>
  <si>
    <t>BP-OIL#Net Financial Expenses</t>
  </si>
  <si>
    <t>BP-OIL#SG&amp;A Expense</t>
  </si>
  <si>
    <t>BP-OIL#Research &amp; Development</t>
  </si>
  <si>
    <t>BP-OIL#Other SG&amp;A</t>
  </si>
  <si>
    <t>BP-OIL#Pretax Income</t>
  </si>
  <si>
    <t>SHELL#Cash &amp; Short Term Investments</t>
  </si>
  <si>
    <t>SHELL#Accounts Receivables, Net</t>
  </si>
  <si>
    <t>SHELL#Inventories</t>
  </si>
  <si>
    <t>SHELL#Total Current Assets</t>
  </si>
  <si>
    <t>SHELL#Total Assets</t>
  </si>
  <si>
    <t>SHELL#Total Current Liabilities</t>
  </si>
  <si>
    <t>SHELL#Accounts Payable</t>
  </si>
  <si>
    <t>SHELL#Total Equity</t>
  </si>
  <si>
    <t>SHELL#Sales/Revenue</t>
  </si>
  <si>
    <t>SHELL#Gross Income</t>
  </si>
  <si>
    <t>SHELL#Net Income</t>
  </si>
  <si>
    <t>SHELL#EBITDA</t>
  </si>
  <si>
    <t>SHELL#Interest Expense</t>
  </si>
  <si>
    <t>SHELL#Non-Operating Interest Income</t>
  </si>
  <si>
    <t>SHELL#Net Financial Expenses</t>
  </si>
  <si>
    <t>SHELL#SG&amp;A Expense</t>
  </si>
  <si>
    <t>SHELL#Research &amp; Development</t>
  </si>
  <si>
    <t>SHELL#Other SG&amp;A</t>
  </si>
  <si>
    <t>SHELL#Pretax Income</t>
  </si>
  <si>
    <t>EXXOM#Cash &amp; Short Term Investments</t>
  </si>
  <si>
    <t>EXXOM#Accounts Receivables, Net</t>
  </si>
  <si>
    <t>EXXOM#Inventories</t>
  </si>
  <si>
    <t>EXXOM#Total Current Assets</t>
  </si>
  <si>
    <t>EXXOM#Total Assets</t>
  </si>
  <si>
    <t>EXXOM#Total Current Liabilities</t>
  </si>
  <si>
    <t>EXXOM#Accounts Payable</t>
  </si>
  <si>
    <t>EXXOM#Total Equity</t>
  </si>
  <si>
    <t>EXXOM#Sales/Revenue</t>
  </si>
  <si>
    <t>EXXOM#Gross Income</t>
  </si>
  <si>
    <t>EXXOM#Net Income</t>
  </si>
  <si>
    <t>EXXOM#EBITDA</t>
  </si>
  <si>
    <t>EXXOM#Interest Expense</t>
  </si>
  <si>
    <t>EXXOM#Non-Operating Interest Income</t>
  </si>
  <si>
    <t>EXXOM#Net Financial Expenses</t>
  </si>
  <si>
    <t>EXXOM#SG&amp;A Expense</t>
  </si>
  <si>
    <t>EXXOM#Research &amp; Development</t>
  </si>
  <si>
    <t>EXXOM#Other SG&amp;A</t>
  </si>
  <si>
    <t>EXXOM#Pretax Income</t>
  </si>
  <si>
    <t>VALE#Cash &amp; Short Term Investments</t>
  </si>
  <si>
    <t>VALE#Accounts Receivables, Net</t>
  </si>
  <si>
    <t>VALE#Inventories</t>
  </si>
  <si>
    <t>VALE#Total Current Assets</t>
  </si>
  <si>
    <t>VALE#Total Assets</t>
  </si>
  <si>
    <t>VALE#Total Current Liabilities</t>
  </si>
  <si>
    <t>VALE#Accounts Payable</t>
  </si>
  <si>
    <t>VALE#Total Equity</t>
  </si>
  <si>
    <t>VALE#Sales/Revenue</t>
  </si>
  <si>
    <t>VALE#Gross Income</t>
  </si>
  <si>
    <t>VALE#Net Income</t>
  </si>
  <si>
    <t>VALE#EBITDA</t>
  </si>
  <si>
    <t>VALE#Interest Expense</t>
  </si>
  <si>
    <t>VALE#Non-Operating Interest Income</t>
  </si>
  <si>
    <t>VALE#Net Financial Expenses</t>
  </si>
  <si>
    <t>VALE#SG&amp;A Expense</t>
  </si>
  <si>
    <t>VALE#Research &amp; Development</t>
  </si>
  <si>
    <t>VALE#Other SG&amp;A</t>
  </si>
  <si>
    <t>VALE#Pretax Income</t>
  </si>
  <si>
    <t>USIM#Cash &amp; Short Term Investments</t>
  </si>
  <si>
    <t>USIM#Accounts Receivables, Net</t>
  </si>
  <si>
    <t>USIM#Inventories</t>
  </si>
  <si>
    <t>USIM#Total Current Assets</t>
  </si>
  <si>
    <t>USIM#Total Assets</t>
  </si>
  <si>
    <t>USIM#Total Current Liabilities</t>
  </si>
  <si>
    <t>USIM#Accounts Payable</t>
  </si>
  <si>
    <t>USIM#Total Equity</t>
  </si>
  <si>
    <t>USIM#Sales/Revenue</t>
  </si>
  <si>
    <t>USIM#Gross Income</t>
  </si>
  <si>
    <t>USIM#Net Income</t>
  </si>
  <si>
    <t>USIM#EBITDA</t>
  </si>
  <si>
    <t>USIM#Interest Expense</t>
  </si>
  <si>
    <t>USIM#Non-Operating Interest Income</t>
  </si>
  <si>
    <t>USIM#Net Financial Expenses</t>
  </si>
  <si>
    <t>USIM#SG&amp;A Expense</t>
  </si>
  <si>
    <t>USIM#Research &amp; Development</t>
  </si>
  <si>
    <t>USIM#Other SG&amp;A</t>
  </si>
  <si>
    <t>USIM#Pretax Income</t>
  </si>
  <si>
    <t>CSN#Cash &amp; Short Term Investments</t>
  </si>
  <si>
    <t>CSN#Accounts Receivables, Net</t>
  </si>
  <si>
    <t>CSN#Inventories</t>
  </si>
  <si>
    <t>CSN#Total Current Assets</t>
  </si>
  <si>
    <t>CSN#Total Assets</t>
  </si>
  <si>
    <t>CSN#Total Current Liabilities</t>
  </si>
  <si>
    <t>CSN#Accounts Payable</t>
  </si>
  <si>
    <t>CSN#Total Equity</t>
  </si>
  <si>
    <t>CSN#Sales/Revenue</t>
  </si>
  <si>
    <t>CSN#Gross Income</t>
  </si>
  <si>
    <t>CSN#Net Income</t>
  </si>
  <si>
    <t>CSN#EBITDA</t>
  </si>
  <si>
    <t>CSN#Interest Expense</t>
  </si>
  <si>
    <t>CSN#Non-Operating Interest Income</t>
  </si>
  <si>
    <t>CSN#Net Financial Expenses</t>
  </si>
  <si>
    <t>CSN#SG&amp;A Expense</t>
  </si>
  <si>
    <t>CSN#Research &amp; Development</t>
  </si>
  <si>
    <t>CSN#Other SG&amp;A</t>
  </si>
  <si>
    <t>CSN#Pretax Income</t>
  </si>
  <si>
    <t>GERDAU#Cash &amp; Short Term Investments</t>
  </si>
  <si>
    <t>GERDAU#Accounts Receivables, Net</t>
  </si>
  <si>
    <t>GERDAU#Inventories</t>
  </si>
  <si>
    <t>GERDAU#Total Current Assets</t>
  </si>
  <si>
    <t>GERDAU#Total Assets</t>
  </si>
  <si>
    <t>GERDAU#Total Current Liabilities</t>
  </si>
  <si>
    <t>GERDAU#Accounts Payable</t>
  </si>
  <si>
    <t>GERDAU#Total Equity</t>
  </si>
  <si>
    <t>GERDAU#Sales/Revenue</t>
  </si>
  <si>
    <t>GERDAU#Gross Income</t>
  </si>
  <si>
    <t>GERDAU#Net Income</t>
  </si>
  <si>
    <t>GERDAU#EBITDA</t>
  </si>
  <si>
    <t>GERDAU#Interest Expense</t>
  </si>
  <si>
    <t>GERDAU#Non-Operating Interest Income</t>
  </si>
  <si>
    <t>GERDAU#Net Financial Expenses</t>
  </si>
  <si>
    <t>GERDAU#SG&amp;A Expense</t>
  </si>
  <si>
    <t>GERDAU#Research &amp; Development</t>
  </si>
  <si>
    <t>GERDAU#Other SG&amp;A</t>
  </si>
  <si>
    <t>GERDAU#Pretax Income</t>
  </si>
  <si>
    <t>ARCELOR#Cash &amp; Short Term Investments</t>
  </si>
  <si>
    <t>ARCELOR#Accounts Receivables, Net</t>
  </si>
  <si>
    <t>ARCELOR#Inventories</t>
  </si>
  <si>
    <t>ARCELOR#Total Current Assets</t>
  </si>
  <si>
    <t>ARCELOR#Total Assets</t>
  </si>
  <si>
    <t>ARCELOR#Total Current Liabilities</t>
  </si>
  <si>
    <t>ARCELOR#Accounts Payable</t>
  </si>
  <si>
    <t>ARCELOR#Total Equity</t>
  </si>
  <si>
    <t>ARCELOR#Sales/Revenue</t>
  </si>
  <si>
    <t>ARCELOR#Gross Income</t>
  </si>
  <si>
    <t>ARCELOR#Net Income</t>
  </si>
  <si>
    <t>ARCELOR#EBITDA</t>
  </si>
  <si>
    <t>ARCELOR#Interest Expense</t>
  </si>
  <si>
    <t>ARCELOR#Non-Operating Interest Income</t>
  </si>
  <si>
    <t>ARCELOR#Net Financial Expenses</t>
  </si>
  <si>
    <t>ARCELOR#SG&amp;A Expense</t>
  </si>
  <si>
    <t>ARCELOR#Research &amp; Development</t>
  </si>
  <si>
    <t>ARCELOR#Other SG&amp;A</t>
  </si>
  <si>
    <t>ARCELOR#Pretax Income</t>
  </si>
  <si>
    <t>LAFARGE#Cash &amp; Short Term Investments</t>
  </si>
  <si>
    <t>LAFARGE#Accounts Receivables, Net</t>
  </si>
  <si>
    <t>LAFARGE#Inventories</t>
  </si>
  <si>
    <t>LAFARGE#Total Current Assets</t>
  </si>
  <si>
    <t>LAFARGE#Total Assets</t>
  </si>
  <si>
    <t>LAFARGE#Total Current Liabilities</t>
  </si>
  <si>
    <t>LAFARGE#Accounts Payable</t>
  </si>
  <si>
    <t>LAFARGE#Total Equity</t>
  </si>
  <si>
    <t>LAFARGE#Sales/Revenue</t>
  </si>
  <si>
    <t>LAFARGE#Gross Income</t>
  </si>
  <si>
    <t>LAFARGE#Net Income</t>
  </si>
  <si>
    <t>LAFARGE#EBITDA</t>
  </si>
  <si>
    <t>LAFARGE#Interest Expense</t>
  </si>
  <si>
    <t>LAFARGE#Non-Operating Interest Income</t>
  </si>
  <si>
    <t>LAFARGE#Net Financial Expenses</t>
  </si>
  <si>
    <t>LAFARGE#SG&amp;A Expense</t>
  </si>
  <si>
    <t>LAFARGE#Research &amp; Development</t>
  </si>
  <si>
    <t>LAFARGE#Other SG&amp;A</t>
  </si>
  <si>
    <t>LAFARGE#Pretax Income</t>
  </si>
  <si>
    <t>ANGLO#Cash &amp; Short Term Investments</t>
  </si>
  <si>
    <t>ANGLO#Accounts Receivables, Net</t>
  </si>
  <si>
    <t>ANGLO#Inventories</t>
  </si>
  <si>
    <t>ANGLO#Total Current Assets</t>
  </si>
  <si>
    <t>ANGLO#Total Assets</t>
  </si>
  <si>
    <t>ANGLO#Total Current Liabilities</t>
  </si>
  <si>
    <t>ANGLO#Accounts Payable</t>
  </si>
  <si>
    <t>ANGLO#Total Equity</t>
  </si>
  <si>
    <t>ANGLO#Sales/Revenue</t>
  </si>
  <si>
    <t>ANGLO#Gross Income</t>
  </si>
  <si>
    <t>ANGLO#Net Income</t>
  </si>
  <si>
    <t>ANGLO#EBITDA</t>
  </si>
  <si>
    <t>ANGLO#Interest Expense</t>
  </si>
  <si>
    <t>ANGLO#Non-Operating Interest Income</t>
  </si>
  <si>
    <t>ANGLO#Net Financial Expenses</t>
  </si>
  <si>
    <t>ANGLO#SG&amp;A Expense</t>
  </si>
  <si>
    <t>ANGLO#Research &amp; Development</t>
  </si>
  <si>
    <t>ANGLO#Other SG&amp;A</t>
  </si>
  <si>
    <t>ANGLO#Pretax Income</t>
  </si>
  <si>
    <t>MAGNA#Cash &amp; Short Term Investments</t>
  </si>
  <si>
    <t>MAGNA#Accounts Receivables, Net</t>
  </si>
  <si>
    <t>MAGNA#Inventories</t>
  </si>
  <si>
    <t>MAGNA#Total Current Assets</t>
  </si>
  <si>
    <t>MAGNA#Total Assets</t>
  </si>
  <si>
    <t>MAGNA#Total Current Liabilities</t>
  </si>
  <si>
    <t>MAGNA#Accounts Payable</t>
  </si>
  <si>
    <t>MAGNA#Total Equity</t>
  </si>
  <si>
    <t>MAGNA#Sales/Revenue</t>
  </si>
  <si>
    <t>MAGNA#Gross Income</t>
  </si>
  <si>
    <t>MAGNA#Net Income</t>
  </si>
  <si>
    <t>MAGNA#EBITDA</t>
  </si>
  <si>
    <t>MAGNA#Interest Expense</t>
  </si>
  <si>
    <t>MAGNA#Non-Operating Interest Income</t>
  </si>
  <si>
    <t>MAGNA#Net Financial Expenses</t>
  </si>
  <si>
    <t>MAGNA#SG&amp;A Expense</t>
  </si>
  <si>
    <t>MAGNA#Research &amp; Development</t>
  </si>
  <si>
    <t>MAGNA#Other SG&amp;A</t>
  </si>
  <si>
    <t>MAGNA#Pretax Income</t>
  </si>
  <si>
    <t>LEAR#Cash &amp; Short Term Investments</t>
  </si>
  <si>
    <t>LEAR#Accounts Receivables, Net</t>
  </si>
  <si>
    <t>LEAR#Inventories</t>
  </si>
  <si>
    <t>LEAR#Total Current Assets</t>
  </si>
  <si>
    <t>LEAR#Total Assets</t>
  </si>
  <si>
    <t>LEAR#Total Current Liabilities</t>
  </si>
  <si>
    <t>LEAR#Accounts Payable</t>
  </si>
  <si>
    <t>LEAR#Total Equity</t>
  </si>
  <si>
    <t>LEAR#Sales/Revenue</t>
  </si>
  <si>
    <t>LEAR#Gross Income</t>
  </si>
  <si>
    <t>LEAR#Net Income</t>
  </si>
  <si>
    <t>LEAR#EBITDA</t>
  </si>
  <si>
    <t>LEAR#Interest Expense</t>
  </si>
  <si>
    <t>LEAR#Non-Operating Interest Income</t>
  </si>
  <si>
    <t>LEAR#Net Financial Expenses</t>
  </si>
  <si>
    <t>LEAR#SG&amp;A Expense</t>
  </si>
  <si>
    <t>LEAR#Research &amp; Development</t>
  </si>
  <si>
    <t>LEAR#Other SG&amp;A</t>
  </si>
  <si>
    <t>LEAR#Pretax Income</t>
  </si>
  <si>
    <t>DENSO#Cash &amp; Short Term Investments</t>
  </si>
  <si>
    <t>DENSO#Accounts Receivables, Net</t>
  </si>
  <si>
    <t>DENSO#Inventories</t>
  </si>
  <si>
    <t>DENSO#Total Current Assets</t>
  </si>
  <si>
    <t>DENSO#Total Assets</t>
  </si>
  <si>
    <t>DENSO#Total Current Liabilities</t>
  </si>
  <si>
    <t>DENSO#Accounts Payable</t>
  </si>
  <si>
    <t>DENSO#Total Equity</t>
  </si>
  <si>
    <t>DENSO#Sales/Revenue</t>
  </si>
  <si>
    <t>DENSO#Gross Income</t>
  </si>
  <si>
    <t>DENSO#Net Income</t>
  </si>
  <si>
    <t>DENSO#EBITDA</t>
  </si>
  <si>
    <t>DENSO#Interest Expense</t>
  </si>
  <si>
    <t>DENSO#Non-Operating Interest Income</t>
  </si>
  <si>
    <t>DENSO#Net Financial Expenses</t>
  </si>
  <si>
    <t>DENSO#SG&amp;A Expense</t>
  </si>
  <si>
    <t>DENSO#Research &amp; Development</t>
  </si>
  <si>
    <t>DENSO#Other SG&amp;A</t>
  </si>
  <si>
    <t>DENSO#Pretax Income</t>
  </si>
  <si>
    <t>BIO-RAD#Cash &amp; Short Term Investments</t>
  </si>
  <si>
    <t>BIO-RAD#Accounts Receivables, Net</t>
  </si>
  <si>
    <t>BIO-RAD#Inventories</t>
  </si>
  <si>
    <t>BIO-RAD#Total Current Assets</t>
  </si>
  <si>
    <t>BIO-RAD#Total Assets</t>
  </si>
  <si>
    <t>BIO-RAD#Total Current Liabilities</t>
  </si>
  <si>
    <t>BIO-RAD#Accounts Payable</t>
  </si>
  <si>
    <t>BIO-RAD#Total Equity</t>
  </si>
  <si>
    <t>BIO-RAD#Sales/Revenue</t>
  </si>
  <si>
    <t>BIO-RAD#Gross Income</t>
  </si>
  <si>
    <t>BIO-RAD#Net Income</t>
  </si>
  <si>
    <t>BIO-RAD#EBITDA</t>
  </si>
  <si>
    <t>BIO-RAD#Interest Expense</t>
  </si>
  <si>
    <t>BIO-RAD#Non-Operating Interest Income</t>
  </si>
  <si>
    <t>BIO-RAD#Net Financial Expenses</t>
  </si>
  <si>
    <t>BIO-RAD#SG&amp;A Expense</t>
  </si>
  <si>
    <t>BIO-RAD#Research &amp; Development</t>
  </si>
  <si>
    <t>BIO-RAD#Other SG&amp;A</t>
  </si>
  <si>
    <t>BIO-RAD#Pretax Income</t>
  </si>
  <si>
    <t>CELL</t>
  </si>
  <si>
    <t>PRM2</t>
  </si>
  <si>
    <t>Report#1</t>
  </si>
  <si>
    <t>Update Dropdowns</t>
  </si>
  <si>
    <t>E1</t>
  </si>
  <si>
    <t>K1</t>
  </si>
  <si>
    <t>1stPage</t>
  </si>
  <si>
    <t>C5:C15</t>
  </si>
  <si>
    <t>SLIDE GENERATION TESTING</t>
  </si>
  <si>
    <t xml:space="preserve"> </t>
  </si>
  <si>
    <t>Information consolidated by Paulo Ramos</t>
  </si>
  <si>
    <t>This Powerpoint contains public information of companies listed in the stock market.</t>
  </si>
  <si>
    <t>PRM1</t>
  </si>
  <si>
    <t>Chart 6</t>
  </si>
  <si>
    <t>Sales &amp; Margin EBITDA</t>
  </si>
  <si>
    <t>B30:O56</t>
  </si>
  <si>
    <t>Beggining row:</t>
  </si>
  <si>
    <t>Hyperlink 1</t>
  </si>
  <si>
    <t>Hyperlink 2</t>
  </si>
  <si>
    <t>Hyperlink 3</t>
  </si>
  <si>
    <t>Hyperlink 4</t>
  </si>
  <si>
    <t>Hyperlink 5</t>
  </si>
  <si>
    <t>Hyperlink 6</t>
  </si>
  <si>
    <t>Hyperlink 7</t>
  </si>
  <si>
    <t>Hyperlink 8</t>
  </si>
  <si>
    <t>Hyperlink 9</t>
  </si>
  <si>
    <t>Hyperlink 10</t>
  </si>
  <si>
    <t>Hyperlink 11</t>
  </si>
  <si>
    <t>Hyperlink 12</t>
  </si>
  <si>
    <t>Hyperlink 13</t>
  </si>
  <si>
    <t>Hyperlink 14</t>
  </si>
  <si>
    <t>Hyperlink 15</t>
  </si>
  <si>
    <t>Seq.</t>
  </si>
  <si>
    <t>Abs</t>
  </si>
  <si>
    <t>Home#1#500#500</t>
  </si>
  <si>
    <t>Graf#4#500#550</t>
  </si>
  <si>
    <t>Graf#4#500#600</t>
  </si>
  <si>
    <t>Hyperlinks Configurations (Name # Slide Number # Top # Left), Example: Price#10#300#300</t>
  </si>
  <si>
    <t>DSL =</t>
  </si>
  <si>
    <t>Subtitle</t>
  </si>
  <si>
    <t>Font</t>
  </si>
  <si>
    <t>Teste1</t>
  </si>
  <si>
    <t>teste2</t>
  </si>
  <si>
    <t>test3</t>
  </si>
  <si>
    <t>test4</t>
  </si>
  <si>
    <t>test5</t>
  </si>
  <si>
    <t>test6</t>
  </si>
  <si>
    <t>Title Formats (Color, Font Type, Bold, Italic)</t>
  </si>
  <si>
    <t>Textbox (Text # Top # Left)</t>
  </si>
  <si>
    <t>Txt Box 1</t>
  </si>
  <si>
    <t>Txt Box 2</t>
  </si>
  <si>
    <t>Txt Box 3</t>
  </si>
  <si>
    <t>Txt Box 4</t>
  </si>
  <si>
    <t>Txt Box Model =</t>
  </si>
  <si>
    <t>Hyperlink model =</t>
  </si>
  <si>
    <t>USD/Mln#70#500</t>
  </si>
  <si>
    <t>Title Format</t>
  </si>
  <si>
    <t>Subtitle Format</t>
  </si>
</sst>
</file>

<file path=xl/styles.xml><?xml version="1.0" encoding="utf-8"?>
<styleSheet xmlns="http://schemas.openxmlformats.org/spreadsheetml/2006/main">
  <numFmts count="4">
    <numFmt numFmtId="164" formatCode="#,##0.000"/>
    <numFmt numFmtId="165" formatCode="0.0%"/>
    <numFmt numFmtId="166" formatCode="#,##0.0"/>
    <numFmt numFmtId="167" formatCode="#,##0.0000"/>
  </numFmts>
  <fonts count="2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3"/>
      <color theme="3" tint="-0.249977111117893"/>
      <name val="Calibri"/>
      <family val="2"/>
      <scheme val="minor"/>
    </font>
    <font>
      <b/>
      <sz val="13"/>
      <color theme="3" tint="-0.249977111117893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1"/>
      <color theme="3" tint="-0.249977111117893"/>
      <name val="Calibri"/>
      <family val="2"/>
      <scheme val="minor"/>
    </font>
    <font>
      <i/>
      <sz val="11"/>
      <color theme="3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25"/>
      <name val="Calibri"/>
      <family val="2"/>
      <scheme val="minor"/>
    </font>
    <font>
      <b/>
      <sz val="20"/>
      <name val="Calibri"/>
      <family val="2"/>
      <scheme val="minor"/>
    </font>
    <font>
      <b/>
      <i/>
      <sz val="20"/>
      <name val="Calibri"/>
      <family val="2"/>
      <scheme val="minor"/>
    </font>
    <font>
      <b/>
      <sz val="30"/>
      <name val="Calibri"/>
      <family val="2"/>
      <scheme val="minor"/>
    </font>
    <font>
      <b/>
      <sz val="10"/>
      <color rgb="FF000000"/>
      <name val="Arial"/>
      <family val="2"/>
    </font>
    <font>
      <b/>
      <sz val="14"/>
      <color theme="1"/>
      <name val="Calibri"/>
      <family val="2"/>
      <scheme val="minor"/>
    </font>
    <font>
      <b/>
      <u/>
      <sz val="11"/>
      <color theme="3"/>
      <name val="Arial"/>
      <family val="2"/>
    </font>
    <font>
      <b/>
      <i/>
      <sz val="11"/>
      <color rgb="FFC00000"/>
      <name val="Arial"/>
      <family val="2"/>
    </font>
    <font>
      <b/>
      <sz val="11"/>
      <color rgb="FFC00000"/>
      <name val="Calibri"/>
      <family val="2"/>
      <scheme val="minor"/>
    </font>
    <font>
      <b/>
      <sz val="11"/>
      <color theme="1" tint="0.34998626667073579"/>
      <name val="Calibri"/>
      <family val="2"/>
      <scheme val="minor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E1DD2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00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0" fontId="3" fillId="2" borderId="0" xfId="0" applyFont="1" applyFill="1" applyAlignment="1">
      <alignment horizontal="centerContinuous"/>
    </xf>
    <xf numFmtId="0" fontId="1" fillId="0" borderId="0" xfId="0" applyFont="1"/>
    <xf numFmtId="0" fontId="1" fillId="0" borderId="0" xfId="0" applyFont="1" applyAlignment="1">
      <alignment horizontal="left"/>
    </xf>
    <xf numFmtId="0" fontId="5" fillId="0" borderId="0" xfId="0" applyFont="1"/>
    <xf numFmtId="0" fontId="4" fillId="3" borderId="0" xfId="0" applyFont="1" applyFill="1"/>
    <xf numFmtId="0" fontId="6" fillId="3" borderId="0" xfId="0" applyFont="1" applyFill="1" applyAlignment="1">
      <alignment horizontal="left"/>
    </xf>
    <xf numFmtId="0" fontId="6" fillId="3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6" fillId="0" borderId="0" xfId="0" applyFont="1" applyFill="1" applyAlignment="1">
      <alignment horizontal="left"/>
    </xf>
    <xf numFmtId="0" fontId="6" fillId="0" borderId="0" xfId="0" applyFont="1" applyFill="1" applyAlignment="1">
      <alignment horizontal="center" vertical="center" wrapText="1"/>
    </xf>
    <xf numFmtId="164" fontId="2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left"/>
    </xf>
    <xf numFmtId="164" fontId="6" fillId="0" borderId="0" xfId="0" applyNumberFormat="1" applyFont="1"/>
    <xf numFmtId="0" fontId="6" fillId="3" borderId="0" xfId="0" applyFont="1" applyFill="1"/>
    <xf numFmtId="0" fontId="6" fillId="3" borderId="0" xfId="0" applyFont="1" applyFill="1" applyAlignment="1">
      <alignment horizontal="center"/>
    </xf>
    <xf numFmtId="4" fontId="2" fillId="0" borderId="0" xfId="0" applyNumberFormat="1" applyFont="1"/>
    <xf numFmtId="165" fontId="6" fillId="0" borderId="0" xfId="0" applyNumberFormat="1" applyFont="1"/>
    <xf numFmtId="165" fontId="2" fillId="0" borderId="0" xfId="0" applyNumberFormat="1" applyFont="1"/>
    <xf numFmtId="3" fontId="2" fillId="0" borderId="0" xfId="0" applyNumberFormat="1" applyFont="1"/>
    <xf numFmtId="0" fontId="2" fillId="0" borderId="0" xfId="0" applyFont="1" applyFill="1"/>
    <xf numFmtId="166" fontId="2" fillId="0" borderId="0" xfId="0" applyNumberFormat="1" applyFont="1"/>
    <xf numFmtId="0" fontId="7" fillId="0" borderId="0" xfId="0" applyFont="1"/>
    <xf numFmtId="0" fontId="6" fillId="2" borderId="0" xfId="0" applyFont="1" applyFill="1" applyAlignment="1">
      <alignment horizontal="left"/>
    </xf>
    <xf numFmtId="0" fontId="6" fillId="2" borderId="0" xfId="0" applyFont="1" applyFill="1"/>
    <xf numFmtId="0" fontId="1" fillId="0" borderId="0" xfId="0" applyFont="1" applyFill="1"/>
    <xf numFmtId="0" fontId="6" fillId="0" borderId="1" xfId="0" applyFont="1" applyBorder="1" applyAlignment="1">
      <alignment horizontal="centerContinuous"/>
    </xf>
    <xf numFmtId="0" fontId="6" fillId="0" borderId="2" xfId="0" applyFont="1" applyBorder="1" applyAlignment="1">
      <alignment horizontal="centerContinuous"/>
    </xf>
    <xf numFmtId="0" fontId="6" fillId="0" borderId="3" xfId="0" applyFont="1" applyBorder="1" applyAlignment="1">
      <alignment horizontal="centerContinuous"/>
    </xf>
    <xf numFmtId="0" fontId="2" fillId="0" borderId="2" xfId="0" applyFont="1" applyBorder="1" applyAlignment="1">
      <alignment horizontal="centerContinuous"/>
    </xf>
    <xf numFmtId="0" fontId="2" fillId="0" borderId="3" xfId="0" applyFont="1" applyBorder="1" applyAlignment="1">
      <alignment horizontal="centerContinuous"/>
    </xf>
    <xf numFmtId="0" fontId="6" fillId="3" borderId="0" xfId="0" applyFont="1" applyFill="1" applyAlignment="1">
      <alignment vertical="center" wrapText="1"/>
    </xf>
    <xf numFmtId="0" fontId="0" fillId="0" borderId="0" xfId="0" applyFill="1"/>
    <xf numFmtId="164" fontId="2" fillId="0" borderId="0" xfId="0" applyNumberFormat="1" applyFont="1" applyFill="1"/>
    <xf numFmtId="164" fontId="6" fillId="0" borderId="0" xfId="0" applyNumberFormat="1" applyFont="1" applyFill="1"/>
    <xf numFmtId="0" fontId="6" fillId="0" borderId="0" xfId="0" applyFont="1" applyFill="1"/>
    <xf numFmtId="4" fontId="2" fillId="0" borderId="0" xfId="0" applyNumberFormat="1" applyFont="1" applyFill="1"/>
    <xf numFmtId="165" fontId="6" fillId="0" borderId="0" xfId="0" applyNumberFormat="1" applyFont="1" applyFill="1"/>
    <xf numFmtId="165" fontId="2" fillId="0" borderId="0" xfId="0" applyNumberFormat="1" applyFont="1" applyFill="1"/>
    <xf numFmtId="3" fontId="2" fillId="0" borderId="0" xfId="0" applyNumberFormat="1" applyFont="1" applyFill="1"/>
    <xf numFmtId="0" fontId="4" fillId="5" borderId="0" xfId="0" applyFont="1" applyFill="1" applyAlignment="1">
      <alignment horizontal="centerContinuous"/>
    </xf>
    <xf numFmtId="0" fontId="0" fillId="0" borderId="0" xfId="0" applyAlignment="1">
      <alignment horizontal="left"/>
    </xf>
    <xf numFmtId="0" fontId="8" fillId="0" borderId="0" xfId="0" applyFont="1"/>
    <xf numFmtId="165" fontId="0" fillId="0" borderId="0" xfId="0" applyNumberFormat="1"/>
    <xf numFmtId="167" fontId="0" fillId="0" borderId="0" xfId="0" applyNumberFormat="1"/>
    <xf numFmtId="0" fontId="0" fillId="0" borderId="0" xfId="0" applyAlignment="1">
      <alignment horizontal="centerContinuous"/>
    </xf>
    <xf numFmtId="0" fontId="8" fillId="4" borderId="0" xfId="0" applyFont="1" applyFill="1"/>
    <xf numFmtId="0" fontId="8" fillId="4" borderId="0" xfId="0" applyFont="1" applyFill="1" applyAlignment="1">
      <alignment horizontal="right" vertical="center" wrapText="1"/>
    </xf>
    <xf numFmtId="164" fontId="0" fillId="0" borderId="0" xfId="0" applyNumberFormat="1"/>
    <xf numFmtId="0" fontId="4" fillId="6" borderId="0" xfId="0" applyFont="1" applyFill="1" applyAlignment="1">
      <alignment horizontal="centerContinuous"/>
    </xf>
    <xf numFmtId="0" fontId="8" fillId="2" borderId="0" xfId="0" applyFont="1" applyFill="1"/>
    <xf numFmtId="0" fontId="9" fillId="0" borderId="0" xfId="0" applyFont="1"/>
    <xf numFmtId="0" fontId="10" fillId="0" borderId="0" xfId="0" applyFont="1" applyAlignment="1">
      <alignment horizontal="center" wrapText="1"/>
    </xf>
    <xf numFmtId="0" fontId="11" fillId="0" borderId="0" xfId="0" applyFont="1" applyAlignment="1">
      <alignment horizontal="center" wrapText="1"/>
    </xf>
    <xf numFmtId="0" fontId="12" fillId="0" borderId="0" xfId="0" applyFont="1" applyAlignment="1">
      <alignment horizontal="center" wrapText="1"/>
    </xf>
    <xf numFmtId="0" fontId="13" fillId="0" borderId="0" xfId="0" applyFont="1" applyAlignment="1">
      <alignment horizontal="center" wrapText="1"/>
    </xf>
    <xf numFmtId="0" fontId="11" fillId="0" borderId="0" xfId="0" applyFont="1" applyAlignment="1">
      <alignment horizontal="center"/>
    </xf>
    <xf numFmtId="0" fontId="0" fillId="0" borderId="4" xfId="0" applyBorder="1"/>
    <xf numFmtId="0" fontId="0" fillId="0" borderId="4" xfId="0" applyFill="1" applyBorder="1"/>
    <xf numFmtId="0" fontId="0" fillId="0" borderId="4" xfId="0" applyFont="1" applyFill="1" applyBorder="1"/>
    <xf numFmtId="0" fontId="0" fillId="2" borderId="4" xfId="0" applyFill="1" applyBorder="1"/>
    <xf numFmtId="0" fontId="0" fillId="0" borderId="4" xfId="0" applyFont="1" applyBorder="1"/>
    <xf numFmtId="0" fontId="0" fillId="0" borderId="4" xfId="0" applyBorder="1" applyAlignment="1">
      <alignment horizontal="center"/>
    </xf>
    <xf numFmtId="0" fontId="8" fillId="4" borderId="1" xfId="0" applyFont="1" applyFill="1" applyBorder="1"/>
    <xf numFmtId="0" fontId="8" fillId="4" borderId="2" xfId="0" applyFont="1" applyFill="1" applyBorder="1"/>
    <xf numFmtId="0" fontId="8" fillId="4" borderId="3" xfId="0" applyFont="1" applyFill="1" applyBorder="1"/>
    <xf numFmtId="0" fontId="8" fillId="4" borderId="4" xfId="0" applyFont="1" applyFill="1" applyBorder="1"/>
    <xf numFmtId="0" fontId="8" fillId="0" borderId="5" xfId="0" applyFont="1" applyBorder="1"/>
    <xf numFmtId="0" fontId="8" fillId="0" borderId="6" xfId="0" applyFont="1" applyBorder="1"/>
    <xf numFmtId="0" fontId="8" fillId="4" borderId="4" xfId="0" applyFont="1" applyFill="1" applyBorder="1" applyAlignment="1">
      <alignment horizontal="center"/>
    </xf>
    <xf numFmtId="166" fontId="0" fillId="0" borderId="0" xfId="0" applyNumberFormat="1"/>
    <xf numFmtId="0" fontId="0" fillId="0" borderId="0" xfId="0" applyAlignment="1">
      <alignment wrapText="1"/>
    </xf>
    <xf numFmtId="0" fontId="8" fillId="4" borderId="3" xfId="0" applyFont="1" applyFill="1" applyBorder="1" applyAlignment="1">
      <alignment wrapText="1"/>
    </xf>
    <xf numFmtId="0" fontId="8" fillId="4" borderId="4" xfId="0" applyFont="1" applyFill="1" applyBorder="1" applyAlignment="1">
      <alignment wrapText="1"/>
    </xf>
    <xf numFmtId="0" fontId="0" fillId="0" borderId="4" xfId="0" applyBorder="1" applyAlignment="1">
      <alignment wrapText="1"/>
    </xf>
    <xf numFmtId="0" fontId="0" fillId="0" borderId="4" xfId="0" applyFill="1" applyBorder="1" applyAlignment="1">
      <alignment horizontal="center"/>
    </xf>
    <xf numFmtId="0" fontId="8" fillId="4" borderId="1" xfId="0" applyFont="1" applyFill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Alignment="1"/>
    <xf numFmtId="0" fontId="0" fillId="2" borderId="4" xfId="0" applyFill="1" applyBorder="1" applyAlignment="1"/>
    <xf numFmtId="0" fontId="0" fillId="0" borderId="4" xfId="0" applyFont="1" applyBorder="1" applyAlignment="1"/>
    <xf numFmtId="0" fontId="8" fillId="0" borderId="4" xfId="0" applyFont="1" applyBorder="1" applyAlignment="1">
      <alignment wrapText="1"/>
    </xf>
    <xf numFmtId="0" fontId="16" fillId="0" borderId="0" xfId="0" applyFont="1"/>
    <xf numFmtId="0" fontId="17" fillId="0" borderId="0" xfId="0" applyFont="1"/>
    <xf numFmtId="0" fontId="0" fillId="0" borderId="0" xfId="0" applyAlignment="1">
      <alignment horizontal="right"/>
    </xf>
    <xf numFmtId="0" fontId="18" fillId="0" borderId="4" xfId="0" applyFont="1" applyBorder="1" applyAlignment="1">
      <alignment wrapText="1"/>
    </xf>
    <xf numFmtId="0" fontId="19" fillId="0" borderId="4" xfId="0" applyFont="1" applyFill="1" applyBorder="1" applyAlignment="1">
      <alignment wrapText="1"/>
    </xf>
    <xf numFmtId="0" fontId="20" fillId="0" borderId="0" xfId="0" applyFont="1"/>
    <xf numFmtId="0" fontId="21" fillId="0" borderId="0" xfId="0" applyFont="1"/>
    <xf numFmtId="0" fontId="8" fillId="4" borderId="1" xfId="0" applyFont="1" applyFill="1" applyBorder="1" applyAlignment="1">
      <alignment horizontal="centerContinuous"/>
    </xf>
    <xf numFmtId="0" fontId="8" fillId="4" borderId="2" xfId="0" applyFont="1" applyFill="1" applyBorder="1" applyAlignment="1">
      <alignment horizontal="centerContinuous"/>
    </xf>
    <xf numFmtId="0" fontId="15" fillId="4" borderId="2" xfId="0" applyFont="1" applyFill="1" applyBorder="1" applyAlignment="1">
      <alignment horizontal="centerContinuous"/>
    </xf>
    <xf numFmtId="0" fontId="8" fillId="4" borderId="3" xfId="0" applyFont="1" applyFill="1" applyBorder="1" applyAlignment="1">
      <alignment horizontal="centerContinuous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E1DD2F"/>
      <color rgb="FFF6F654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t-BR"/>
  <c:chart>
    <c:plotArea>
      <c:layout>
        <c:manualLayout>
          <c:layoutTarget val="inner"/>
          <c:xMode val="edge"/>
          <c:yMode val="edge"/>
          <c:x val="7.2383949645948173E-2"/>
          <c:y val="4.5138965418439085E-2"/>
          <c:w val="0.59603500967311385"/>
          <c:h val="0.87673759755045211"/>
        </c:manualLayout>
      </c:layout>
      <c:barChart>
        <c:barDir val="col"/>
        <c:grouping val="clustered"/>
        <c:ser>
          <c:idx val="0"/>
          <c:order val="0"/>
          <c:tx>
            <c:strRef>
              <c:f>Grafico!$B$6</c:f>
              <c:strCache>
                <c:ptCount val="1"/>
                <c:pt idx="0">
                  <c:v>FIAT (Sales)</c:v>
                </c:pt>
              </c:strCache>
            </c:strRef>
          </c:tx>
          <c:spPr>
            <a:ln w="25400">
              <a:solidFill>
                <a:srgbClr val="000080"/>
              </a:solidFill>
              <a:prstDash val="solid"/>
            </a:ln>
          </c:spPr>
          <c:dLbls>
            <c:showVal val="1"/>
          </c:dLbls>
          <c:cat>
            <c:numRef>
              <c:f>Grafico!$C$5:$G$5</c:f>
              <c:numCache>
                <c:formatCode>General</c:formatCode>
                <c:ptCount val="5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</c:numCache>
            </c:numRef>
          </c:cat>
          <c:val>
            <c:numRef>
              <c:f>Grafico!$C$6:$G$6</c:f>
              <c:numCache>
                <c:formatCode>#,##0.0</c:formatCode>
                <c:ptCount val="5"/>
                <c:pt idx="0">
                  <c:v>47.059237537330574</c:v>
                </c:pt>
                <c:pt idx="1">
                  <c:v>47.977817788980929</c:v>
                </c:pt>
                <c:pt idx="2">
                  <c:v>77.290197249173701</c:v>
                </c:pt>
                <c:pt idx="3">
                  <c:v>110.74420552972839</c:v>
                </c:pt>
                <c:pt idx="4">
                  <c:v>119.57855801246477</c:v>
                </c:pt>
              </c:numCache>
            </c:numRef>
          </c:val>
        </c:ser>
        <c:ser>
          <c:idx val="2"/>
          <c:order val="1"/>
          <c:tx>
            <c:strRef>
              <c:f>Grafico!$B$7</c:f>
              <c:strCache>
                <c:ptCount val="1"/>
                <c:pt idx="0">
                  <c:v>TOYOTA (Sales)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dLbls>
            <c:showVal val="1"/>
          </c:dLbls>
          <c:cat>
            <c:numRef>
              <c:f>Grafico!$C$5:$G$5</c:f>
              <c:numCache>
                <c:formatCode>General</c:formatCode>
                <c:ptCount val="5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</c:numCache>
            </c:numRef>
          </c:cat>
          <c:val>
            <c:numRef>
              <c:f>Grafico!$C$7:$G$7</c:f>
              <c:numCache>
                <c:formatCode>#,##0.0</c:formatCode>
                <c:ptCount val="5"/>
                <c:pt idx="0">
                  <c:v>221.77163450493913</c:v>
                </c:pt>
                <c:pt idx="1">
                  <c:v>233.15028207898214</c:v>
                </c:pt>
                <c:pt idx="2">
                  <c:v>246.10667448555282</c:v>
                </c:pt>
                <c:pt idx="3">
                  <c:v>215.66802055297288</c:v>
                </c:pt>
                <c:pt idx="4">
                  <c:v>210.27909160761544</c:v>
                </c:pt>
              </c:numCache>
            </c:numRef>
          </c:val>
        </c:ser>
        <c:axId val="83752064"/>
        <c:axId val="83753600"/>
      </c:barChart>
      <c:lineChart>
        <c:grouping val="standard"/>
        <c:ser>
          <c:idx val="3"/>
          <c:order val="2"/>
          <c:tx>
            <c:strRef>
              <c:f>Grafico!$B$8</c:f>
              <c:strCache>
                <c:ptCount val="1"/>
                <c:pt idx="0">
                  <c:v>FIAT (EBITDA%)</c:v>
                </c:pt>
              </c:strCache>
            </c:strRef>
          </c:tx>
          <c:spPr>
            <a:ln w="25400">
              <a:solidFill>
                <a:srgbClr val="00FFFF"/>
              </a:solidFill>
              <a:prstDash val="solid"/>
            </a:ln>
          </c:spPr>
          <c:marker>
            <c:symbol val="x"/>
            <c:size val="7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dLbls>
            <c:showVal val="1"/>
          </c:dLbls>
          <c:val>
            <c:numRef>
              <c:f>Grafico!$C$8:$G$8</c:f>
              <c:numCache>
                <c:formatCode>0.0%</c:formatCode>
                <c:ptCount val="5"/>
                <c:pt idx="0">
                  <c:v>8.4761321909424731E-2</c:v>
                </c:pt>
                <c:pt idx="1">
                  <c:v>9.1973244147157171E-2</c:v>
                </c:pt>
                <c:pt idx="2">
                  <c:v>9.7380792478173259E-2</c:v>
                </c:pt>
                <c:pt idx="3">
                  <c:v>9.3258694616484047E-2</c:v>
                </c:pt>
                <c:pt idx="4">
                  <c:v>9.1223220456116097E-2</c:v>
                </c:pt>
              </c:numCache>
            </c:numRef>
          </c:val>
        </c:ser>
        <c:ser>
          <c:idx val="4"/>
          <c:order val="3"/>
          <c:tx>
            <c:strRef>
              <c:f>Grafico!$B$9</c:f>
              <c:strCache>
                <c:ptCount val="1"/>
                <c:pt idx="0">
                  <c:v>TOYOTA (EBITDA%)</c:v>
                </c:pt>
              </c:strCache>
            </c:strRef>
          </c:tx>
          <c:dLbls>
            <c:showVal val="1"/>
          </c:dLbls>
          <c:val>
            <c:numRef>
              <c:f>Grafico!$C$9:$G$9</c:f>
              <c:numCache>
                <c:formatCode>0.0%</c:formatCode>
                <c:ptCount val="5"/>
                <c:pt idx="0">
                  <c:v>3.5591816853385291E-2</c:v>
                </c:pt>
                <c:pt idx="1">
                  <c:v>9.6569920844327181E-2</c:v>
                </c:pt>
                <c:pt idx="2">
                  <c:v>7.4249605055292267E-2</c:v>
                </c:pt>
                <c:pt idx="3">
                  <c:v>7.5888051668460701E-2</c:v>
                </c:pt>
                <c:pt idx="4">
                  <c:v>0.11514052583862194</c:v>
                </c:pt>
              </c:numCache>
            </c:numRef>
          </c:val>
        </c:ser>
        <c:marker val="1"/>
        <c:axId val="84484480"/>
        <c:axId val="84486016"/>
      </c:lineChart>
      <c:catAx>
        <c:axId val="83752064"/>
        <c:scaling>
          <c:orientation val="minMax"/>
        </c:scaling>
        <c:axPos val="b"/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83753600"/>
        <c:crosses val="autoZero"/>
        <c:lblAlgn val="ctr"/>
        <c:lblOffset val="100"/>
        <c:tickLblSkip val="1"/>
        <c:tickMarkSkip val="1"/>
      </c:catAx>
      <c:valAx>
        <c:axId val="83753600"/>
        <c:scaling>
          <c:orientation val="minMax"/>
        </c:scaling>
        <c:axPos val="l"/>
        <c:numFmt formatCode="#,##0.0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83752064"/>
        <c:crosses val="autoZero"/>
        <c:crossBetween val="between"/>
      </c:valAx>
      <c:catAx>
        <c:axId val="84484480"/>
        <c:scaling>
          <c:orientation val="minMax"/>
        </c:scaling>
        <c:delete val="1"/>
        <c:axPos val="b"/>
        <c:tickLblPos val="nextTo"/>
        <c:crossAx val="84486016"/>
        <c:crosses val="autoZero"/>
        <c:lblAlgn val="ctr"/>
        <c:lblOffset val="100"/>
      </c:catAx>
      <c:valAx>
        <c:axId val="84486016"/>
        <c:scaling>
          <c:orientation val="minMax"/>
        </c:scaling>
        <c:axPos val="r"/>
        <c:numFmt formatCode="0.0%" sourceLinked="1"/>
        <c:majorTickMark val="cross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pt-BR"/>
          </a:p>
        </c:txPr>
        <c:crossAx val="84484480"/>
        <c:crosses val="max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3820938082612908"/>
          <c:y val="0.41336591559000191"/>
          <c:w val="0.20954487989886228"/>
          <c:h val="0.25987406005943153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pt-BR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pt-BR"/>
    </a:p>
  </c:txPr>
  <c:printSettings>
    <c:headerFooter alignWithMargins="0">
      <c:oddHeader>&amp;A</c:oddHeader>
      <c:oddFooter>Page &amp;P</c:oddFooter>
    </c:headerFooter>
    <c:pageMargins b="0.98425196899999956" l="0.78740157499999996" r="0.78740157499999996" t="0.98425196899999956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NULL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105834</xdr:colOff>
      <xdr:row>1</xdr:row>
      <xdr:rowOff>149491</xdr:rowOff>
    </xdr:from>
    <xdr:to>
      <xdr:col>25</xdr:col>
      <xdr:colOff>452811</xdr:colOff>
      <xdr:row>2</xdr:row>
      <xdr:rowOff>181277</xdr:rowOff>
    </xdr:to>
    <xdr:sp macro="" textlink="">
      <xdr:nvSpPr>
        <xdr:cNvPr id="9" name="CaixaDeTexto 13">
          <a:hlinkClick xmlns:r="http://schemas.openxmlformats.org/officeDocument/2006/relationships" r:id="rId1" invalidUrl="file:///# 4"/>
        </xdr:cNvPr>
        <xdr:cNvSpPr txBox="1"/>
      </xdr:nvSpPr>
      <xdr:spPr bwMode="auto">
        <a:xfrm>
          <a:off x="15833990" y="339991"/>
          <a:ext cx="346977" cy="222286"/>
        </a:xfrm>
        <a:prstGeom prst="rect">
          <a:avLst/>
        </a:prstGeom>
        <a:gradFill>
          <a:gsLst>
            <a:gs pos="100000">
              <a:schemeClr val="bg2">
                <a:lumMod val="60000"/>
                <a:lumOff val="40000"/>
              </a:schemeClr>
            </a:gs>
            <a:gs pos="0">
              <a:schemeClr val="tx2">
                <a:lumMod val="50000"/>
                <a:lumOff val="50000"/>
              </a:schemeClr>
            </a:gs>
            <a:gs pos="50000">
              <a:schemeClr val="bg1">
                <a:lumMod val="75000"/>
              </a:schemeClr>
            </a:gs>
            <a:gs pos="100000">
              <a:srgbClr val="0070C0"/>
            </a:gs>
          </a:gsLst>
          <a:lin ang="5400000" scaled="0"/>
        </a:gradFill>
        <a:ln w="9525">
          <a:noFill/>
          <a:miter lim="800000"/>
          <a:headEnd/>
          <a:tailEnd/>
        </a:ln>
        <a:scene3d>
          <a:camera prst="orthographicFront"/>
          <a:lightRig rig="threePt" dir="t"/>
        </a:scene3d>
        <a:sp3d>
          <a:bevelT/>
          <a:bevelB/>
        </a:sp3d>
      </xdr:spPr>
      <xdr:txBody>
        <a:bodyPr wrap="square" lIns="0" tIns="0" rIns="0" bIns="0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algn="ctr" eaLnBrk="0" fontAlgn="base" hangingPunct="0">
            <a:spcBef>
              <a:spcPct val="0"/>
            </a:spcBef>
            <a:spcAft>
              <a:spcPct val="0"/>
            </a:spcAft>
            <a:defRPr/>
          </a:pPr>
          <a:r>
            <a:rPr lang="pt-BR" sz="700" b="1" kern="0">
              <a:solidFill>
                <a:srgbClr val="000000"/>
              </a:solidFill>
              <a:latin typeface="Helvetica"/>
              <a:ea typeface="ヒラギノ角ゴ Pro W3" pitchFamily="4" charset="-128"/>
              <a:cs typeface="Helvetica"/>
            </a:rPr>
            <a:t>Graf</a:t>
          </a:r>
          <a:endParaRPr lang="en-US" sz="700" b="1" kern="0">
            <a:solidFill>
              <a:srgbClr val="000000"/>
            </a:solidFill>
            <a:latin typeface="Helvetica"/>
            <a:ea typeface="ヒラギノ角ゴ Pro W3" pitchFamily="4" charset="-128"/>
            <a:cs typeface="Helvetica"/>
          </a:endParaRPr>
        </a:p>
      </xdr:txBody>
    </xdr:sp>
    <xdr:clientData/>
  </xdr:twoCellAnchor>
  <xdr:twoCellAnchor>
    <xdr:from>
      <xdr:col>18</xdr:col>
      <xdr:colOff>119062</xdr:colOff>
      <xdr:row>1</xdr:row>
      <xdr:rowOff>107156</xdr:rowOff>
    </xdr:from>
    <xdr:to>
      <xdr:col>19</xdr:col>
      <xdr:colOff>533400</xdr:colOff>
      <xdr:row>3</xdr:row>
      <xdr:rowOff>50006</xdr:rowOff>
    </xdr:to>
    <xdr:sp macro="" textlink="">
      <xdr:nvSpPr>
        <xdr:cNvPr id="4" name="Rectangle 31"/>
        <xdr:cNvSpPr>
          <a:spLocks noChangeArrowheads="1"/>
        </xdr:cNvSpPr>
      </xdr:nvSpPr>
      <xdr:spPr bwMode="auto">
        <a:xfrm>
          <a:off x="12156281" y="297656"/>
          <a:ext cx="1152525" cy="323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wrap="square" anchor="ctr"/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eaLnBrk="0" fontAlgn="base" hangingPunct="0">
            <a:spcBef>
              <a:spcPct val="50000"/>
            </a:spcBef>
            <a:spcAft>
              <a:spcPct val="0"/>
            </a:spcAft>
          </a:pPr>
          <a:r>
            <a:rPr lang="en-GB" altLang="pt-BR" sz="1400" b="1">
              <a:solidFill>
                <a:srgbClr val="CC0000"/>
              </a:solidFill>
              <a:latin typeface="Arial" pitchFamily="34" charset="0"/>
              <a:ea typeface="MS PGothic" pitchFamily="34" charset="-128"/>
            </a:rPr>
            <a:t>EUR/Mln</a:t>
          </a:r>
          <a:endParaRPr lang="pt-BR" altLang="pt-BR" sz="1400" b="1">
            <a:solidFill>
              <a:srgbClr val="CC0000"/>
            </a:solidFill>
            <a:latin typeface="Arial" pitchFamily="34" charset="0"/>
            <a:ea typeface="MS PGothic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38099</xdr:colOff>
      <xdr:row>10</xdr:row>
      <xdr:rowOff>114299</xdr:rowOff>
    </xdr:from>
    <xdr:to>
      <xdr:col>11</xdr:col>
      <xdr:colOff>352425</xdr:colOff>
      <xdr:row>28</xdr:row>
      <xdr:rowOff>171450</xdr:rowOff>
    </xdr:to>
    <xdr:graphicFrame macro="">
      <xdr:nvGraphicFramePr>
        <xdr:cNvPr id="5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Plan4">
    <tabColor rgb="FFFFFF00"/>
    <pageSetUpPr fitToPage="1"/>
  </sheetPr>
  <dimension ref="A3:AL50"/>
  <sheetViews>
    <sheetView tabSelected="1" zoomScale="80" zoomScaleNormal="80" workbookViewId="0"/>
  </sheetViews>
  <sheetFormatPr defaultRowHeight="15"/>
  <cols>
    <col min="2" max="2" width="18.5703125" customWidth="1"/>
    <col min="3" max="3" width="15.140625" bestFit="1" customWidth="1"/>
    <col min="4" max="4" width="15.140625" customWidth="1"/>
    <col min="5" max="5" width="1.7109375" customWidth="1"/>
    <col min="6" max="9" width="6.140625" customWidth="1"/>
    <col min="10" max="10" width="1.7109375" customWidth="1"/>
    <col min="11" max="14" width="6.42578125" customWidth="1"/>
    <col min="15" max="15" width="44.7109375" style="74" customWidth="1"/>
    <col min="16" max="16" width="2.140625" customWidth="1"/>
    <col min="17" max="20" width="11" bestFit="1" customWidth="1"/>
    <col min="21" max="22" width="2.140625" customWidth="1"/>
    <col min="23" max="23" width="4.85546875" style="10" bestFit="1" customWidth="1"/>
    <col min="24" max="24" width="13" customWidth="1"/>
    <col min="25" max="32" width="11" bestFit="1" customWidth="1"/>
    <col min="33" max="38" width="12" bestFit="1" customWidth="1"/>
  </cols>
  <sheetData>
    <row r="3" spans="1:38">
      <c r="N3" s="69" t="s">
        <v>687</v>
      </c>
      <c r="O3" s="76" t="s">
        <v>694</v>
      </c>
      <c r="Q3" s="45" t="s">
        <v>700</v>
      </c>
      <c r="X3" s="45" t="s">
        <v>701</v>
      </c>
    </row>
    <row r="4" spans="1:38">
      <c r="B4" t="s">
        <v>663</v>
      </c>
      <c r="C4" s="53">
        <v>10</v>
      </c>
      <c r="N4" s="65">
        <v>24</v>
      </c>
      <c r="O4" s="92" t="s">
        <v>703</v>
      </c>
    </row>
    <row r="5" spans="1:38">
      <c r="B5" t="s">
        <v>108</v>
      </c>
      <c r="C5" s="53">
        <v>31</v>
      </c>
      <c r="N5" s="65">
        <v>24</v>
      </c>
      <c r="O5" s="93" t="s">
        <v>704</v>
      </c>
    </row>
    <row r="7" spans="1:38" ht="18.75">
      <c r="A7" s="45"/>
      <c r="B7" s="66" t="s">
        <v>96</v>
      </c>
      <c r="C7" s="67"/>
      <c r="D7" s="68"/>
      <c r="E7" s="45"/>
      <c r="F7" s="66" t="s">
        <v>650</v>
      </c>
      <c r="G7" s="67"/>
      <c r="H7" s="67"/>
      <c r="I7" s="68"/>
      <c r="J7" s="45"/>
      <c r="K7" s="66" t="s">
        <v>97</v>
      </c>
      <c r="L7" s="67"/>
      <c r="M7" s="67"/>
      <c r="N7" s="67"/>
      <c r="O7" s="75"/>
      <c r="Q7" s="96" t="s">
        <v>695</v>
      </c>
      <c r="R7" s="97"/>
      <c r="S7" s="98"/>
      <c r="T7" s="99"/>
      <c r="W7" s="79" t="s">
        <v>679</v>
      </c>
      <c r="X7" s="82"/>
      <c r="Y7" s="67"/>
      <c r="Z7" s="67"/>
      <c r="AA7" s="67"/>
      <c r="AB7" s="67"/>
      <c r="AC7" s="67"/>
      <c r="AD7" s="83" t="s">
        <v>684</v>
      </c>
      <c r="AE7" s="67"/>
      <c r="AF7" s="67"/>
      <c r="AG7" s="67"/>
      <c r="AH7" s="67"/>
      <c r="AI7" s="67"/>
      <c r="AJ7" s="67"/>
      <c r="AK7" s="67"/>
      <c r="AL7" s="68"/>
    </row>
    <row r="8" spans="1:38">
      <c r="K8" s="70" t="s">
        <v>98</v>
      </c>
      <c r="L8" s="71"/>
      <c r="M8" s="70" t="s">
        <v>101</v>
      </c>
      <c r="N8" s="71"/>
      <c r="W8" s="10" t="s">
        <v>685</v>
      </c>
      <c r="X8" s="84">
        <v>0</v>
      </c>
    </row>
    <row r="9" spans="1:38">
      <c r="A9" s="45"/>
      <c r="B9" s="69" t="s">
        <v>94</v>
      </c>
      <c r="C9" s="69" t="s">
        <v>95</v>
      </c>
      <c r="D9" s="69" t="s">
        <v>106</v>
      </c>
      <c r="E9" s="45"/>
      <c r="F9" s="69" t="s">
        <v>647</v>
      </c>
      <c r="G9" s="69" t="s">
        <v>659</v>
      </c>
      <c r="H9" s="69" t="s">
        <v>647</v>
      </c>
      <c r="I9" s="69" t="s">
        <v>648</v>
      </c>
      <c r="J9" s="45"/>
      <c r="K9" s="72" t="s">
        <v>99</v>
      </c>
      <c r="L9" s="72" t="s">
        <v>100</v>
      </c>
      <c r="M9" s="72" t="s">
        <v>102</v>
      </c>
      <c r="N9" s="72" t="s">
        <v>103</v>
      </c>
      <c r="O9" s="76" t="s">
        <v>104</v>
      </c>
      <c r="Q9" s="72" t="s">
        <v>696</v>
      </c>
      <c r="R9" s="72" t="s">
        <v>697</v>
      </c>
      <c r="S9" s="72" t="s">
        <v>698</v>
      </c>
      <c r="T9" s="72" t="s">
        <v>699</v>
      </c>
      <c r="W9" s="72" t="s">
        <v>680</v>
      </c>
      <c r="X9" s="72" t="s">
        <v>664</v>
      </c>
      <c r="Y9" s="72" t="s">
        <v>665</v>
      </c>
      <c r="Z9" s="72" t="s">
        <v>666</v>
      </c>
      <c r="AA9" s="72" t="s">
        <v>667</v>
      </c>
      <c r="AB9" s="72" t="s">
        <v>668</v>
      </c>
      <c r="AC9" s="72" t="s">
        <v>669</v>
      </c>
      <c r="AD9" s="72" t="s">
        <v>670</v>
      </c>
      <c r="AE9" s="72" t="s">
        <v>671</v>
      </c>
      <c r="AF9" s="72" t="s">
        <v>672</v>
      </c>
      <c r="AG9" s="72" t="s">
        <v>673</v>
      </c>
      <c r="AH9" s="72" t="s">
        <v>674</v>
      </c>
      <c r="AI9" s="72" t="s">
        <v>675</v>
      </c>
      <c r="AJ9" s="72" t="s">
        <v>676</v>
      </c>
      <c r="AK9" s="72" t="s">
        <v>677</v>
      </c>
      <c r="AL9" s="72" t="s">
        <v>678</v>
      </c>
    </row>
    <row r="10" spans="1:38">
      <c r="B10" s="60" t="s">
        <v>653</v>
      </c>
      <c r="C10" s="80" t="s">
        <v>654</v>
      </c>
      <c r="D10" s="60"/>
      <c r="F10" s="61"/>
      <c r="G10" s="61"/>
      <c r="H10" s="62"/>
      <c r="I10" s="61"/>
      <c r="K10" s="65">
        <v>120</v>
      </c>
      <c r="L10" s="65">
        <v>60</v>
      </c>
      <c r="M10" s="65">
        <v>400</v>
      </c>
      <c r="N10" s="65">
        <v>400</v>
      </c>
      <c r="O10" s="77" t="s">
        <v>656</v>
      </c>
      <c r="Q10" s="81"/>
      <c r="R10" s="81"/>
      <c r="S10" s="81"/>
      <c r="T10" s="81"/>
      <c r="W10" s="78">
        <v>1</v>
      </c>
      <c r="X10" s="81" t="s">
        <v>681</v>
      </c>
      <c r="Y10" s="81" t="s">
        <v>682</v>
      </c>
      <c r="Z10" s="81" t="s">
        <v>683</v>
      </c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</row>
    <row r="11" spans="1:38" s="85" customFormat="1" ht="29.25" customHeight="1">
      <c r="B11" s="81" t="s">
        <v>649</v>
      </c>
      <c r="C11" s="81" t="s">
        <v>105</v>
      </c>
      <c r="D11" s="81"/>
      <c r="F11" s="81" t="s">
        <v>651</v>
      </c>
      <c r="G11" s="86" t="s">
        <v>2</v>
      </c>
      <c r="H11" s="87" t="s">
        <v>652</v>
      </c>
      <c r="I11" s="86" t="s">
        <v>4</v>
      </c>
      <c r="K11" s="65">
        <v>120</v>
      </c>
      <c r="L11" s="65">
        <v>60</v>
      </c>
      <c r="M11" s="65">
        <v>340</v>
      </c>
      <c r="N11" s="65">
        <v>380</v>
      </c>
      <c r="O11" s="88" t="str">
        <f>"Financial Statements "&amp; 'Report#1'!$E$1&amp;" vs "&amp;'Report#1'!$K$1&amp;CHAR(10)&amp;"Testing Subtitle"</f>
        <v>Financial Statements FIAT vs TOYOTA
Testing Subtitle</v>
      </c>
      <c r="Q11" s="81" t="s">
        <v>702</v>
      </c>
      <c r="R11" s="81"/>
      <c r="S11" s="81"/>
      <c r="T11" s="81"/>
      <c r="W11" s="81">
        <f>W10+1</f>
        <v>2</v>
      </c>
      <c r="X11" s="81" t="s">
        <v>681</v>
      </c>
      <c r="Y11" s="81" t="s">
        <v>682</v>
      </c>
      <c r="Z11" s="81" t="s">
        <v>683</v>
      </c>
      <c r="AA11" s="81"/>
      <c r="AB11" s="81"/>
      <c r="AC11" s="81"/>
      <c r="AD11" s="81"/>
      <c r="AE11" s="81"/>
      <c r="AF11" s="81"/>
      <c r="AG11" s="81"/>
      <c r="AH11" s="81"/>
      <c r="AI11" s="81"/>
      <c r="AJ11" s="81"/>
      <c r="AK11" s="81"/>
      <c r="AL11" s="81"/>
    </row>
    <row r="12" spans="1:38" ht="30">
      <c r="B12" s="60" t="s">
        <v>649</v>
      </c>
      <c r="C12" s="80" t="s">
        <v>662</v>
      </c>
      <c r="D12" s="60"/>
      <c r="F12" s="60" t="s">
        <v>651</v>
      </c>
      <c r="G12" s="63" t="str">
        <f>G11</f>
        <v>CNHI</v>
      </c>
      <c r="H12" s="64" t="s">
        <v>652</v>
      </c>
      <c r="I12" s="63" t="str">
        <f>I11</f>
        <v>DEERE</v>
      </c>
      <c r="K12" s="65">
        <v>120</v>
      </c>
      <c r="L12" s="65">
        <v>60</v>
      </c>
      <c r="M12" s="65">
        <v>340</v>
      </c>
      <c r="N12" s="65">
        <v>380</v>
      </c>
      <c r="O12" s="77" t="str">
        <f>"Indicators "&amp; 'Report#1'!$E$1&amp;" vs "&amp;'Report#1'!$K$1&amp;CHAR(10)&amp;"Testing Subtitle"</f>
        <v>Indicators FIAT vs TOYOTA
Testing Subtitle</v>
      </c>
      <c r="Q12" s="81" t="s">
        <v>702</v>
      </c>
      <c r="R12" s="81"/>
      <c r="S12" s="81"/>
      <c r="T12" s="81"/>
      <c r="W12" s="65">
        <f t="shared" ref="W12:W50" si="0">W11+1</f>
        <v>3</v>
      </c>
      <c r="X12" s="81" t="s">
        <v>681</v>
      </c>
      <c r="Y12" s="81" t="s">
        <v>682</v>
      </c>
      <c r="Z12" s="81" t="s">
        <v>683</v>
      </c>
      <c r="AA12" s="81"/>
      <c r="AB12" s="81"/>
      <c r="AC12" s="81"/>
      <c r="AD12" s="81"/>
      <c r="AE12" s="81"/>
      <c r="AF12" s="81"/>
      <c r="AG12" s="81"/>
      <c r="AH12" s="81"/>
      <c r="AI12" s="81"/>
      <c r="AJ12" s="81"/>
      <c r="AK12" s="81"/>
      <c r="AL12" s="81"/>
    </row>
    <row r="13" spans="1:38">
      <c r="B13" s="60" t="s">
        <v>107</v>
      </c>
      <c r="C13" s="80"/>
      <c r="D13" s="60" t="s">
        <v>660</v>
      </c>
      <c r="F13" s="60" t="s">
        <v>651</v>
      </c>
      <c r="G13" s="61"/>
      <c r="H13" s="64" t="s">
        <v>652</v>
      </c>
      <c r="I13" s="61"/>
      <c r="K13" s="65">
        <v>120</v>
      </c>
      <c r="L13" s="65">
        <v>60</v>
      </c>
      <c r="M13" s="65">
        <v>300</v>
      </c>
      <c r="N13" s="65">
        <v>300</v>
      </c>
      <c r="O13" s="77" t="s">
        <v>661</v>
      </c>
      <c r="Q13" s="81" t="s">
        <v>702</v>
      </c>
      <c r="R13" s="81"/>
      <c r="S13" s="81"/>
      <c r="T13" s="81"/>
      <c r="W13" s="65">
        <f t="shared" si="0"/>
        <v>4</v>
      </c>
      <c r="X13" s="81" t="s">
        <v>681</v>
      </c>
      <c r="Y13" s="81" t="s">
        <v>682</v>
      </c>
      <c r="Z13" s="81" t="s">
        <v>683</v>
      </c>
      <c r="AA13" s="81"/>
      <c r="AB13" s="81"/>
      <c r="AC13" s="81"/>
      <c r="AD13" s="81"/>
      <c r="AE13" s="81"/>
      <c r="AF13" s="81"/>
      <c r="AG13" s="81"/>
      <c r="AH13" s="81"/>
      <c r="AI13" s="81"/>
      <c r="AJ13" s="81"/>
      <c r="AK13" s="81"/>
      <c r="AL13" s="81"/>
    </row>
    <row r="14" spans="1:38" ht="30">
      <c r="B14" s="60" t="s">
        <v>649</v>
      </c>
      <c r="C14" s="80" t="s">
        <v>105</v>
      </c>
      <c r="D14" s="60"/>
      <c r="F14" s="60" t="s">
        <v>651</v>
      </c>
      <c r="G14" s="63" t="s">
        <v>2</v>
      </c>
      <c r="H14" s="64" t="s">
        <v>652</v>
      </c>
      <c r="I14" s="63" t="s">
        <v>19</v>
      </c>
      <c r="K14" s="65">
        <v>120</v>
      </c>
      <c r="L14" s="65">
        <v>60</v>
      </c>
      <c r="M14" s="65">
        <v>340</v>
      </c>
      <c r="N14" s="65">
        <v>380</v>
      </c>
      <c r="O14" s="77" t="str">
        <f>"Financial Statements "&amp; 'Report#1'!$E$1&amp;" vs "&amp;'Report#1'!$K$1&amp;CHAR(10)&amp;"Testing Subtitle"</f>
        <v>Financial Statements FIAT vs TOYOTA
Testing Subtitle</v>
      </c>
      <c r="Q14" s="81" t="s">
        <v>702</v>
      </c>
      <c r="R14" s="81"/>
      <c r="S14" s="81"/>
      <c r="T14" s="81"/>
      <c r="W14" s="65">
        <f t="shared" si="0"/>
        <v>5</v>
      </c>
      <c r="X14" s="81" t="s">
        <v>681</v>
      </c>
      <c r="Y14" s="81" t="s">
        <v>682</v>
      </c>
      <c r="Z14" s="81" t="s">
        <v>683</v>
      </c>
      <c r="AA14" s="81"/>
      <c r="AB14" s="81"/>
      <c r="AC14" s="81"/>
      <c r="AD14" s="81"/>
      <c r="AE14" s="81"/>
      <c r="AF14" s="81"/>
      <c r="AG14" s="81"/>
      <c r="AH14" s="81"/>
      <c r="AI14" s="81"/>
      <c r="AJ14" s="81"/>
      <c r="AK14" s="81"/>
      <c r="AL14" s="81"/>
    </row>
    <row r="15" spans="1:38">
      <c r="B15" s="60" t="s">
        <v>649</v>
      </c>
      <c r="C15" s="80" t="s">
        <v>662</v>
      </c>
      <c r="D15" s="60"/>
      <c r="F15" s="60" t="s">
        <v>651</v>
      </c>
      <c r="G15" s="63" t="str">
        <f>G14</f>
        <v>CNHI</v>
      </c>
      <c r="H15" s="64" t="s">
        <v>652</v>
      </c>
      <c r="I15" s="63" t="s">
        <v>19</v>
      </c>
      <c r="K15" s="65">
        <v>120</v>
      </c>
      <c r="L15" s="65">
        <v>60</v>
      </c>
      <c r="M15" s="65">
        <v>340</v>
      </c>
      <c r="N15" s="65">
        <v>380</v>
      </c>
      <c r="O15" s="77" t="str">
        <f>"Indicators "&amp; 'Report#1'!$E$1&amp;" vs "&amp;'Report#1'!$K$1</f>
        <v>Indicators FIAT vs TOYOTA</v>
      </c>
      <c r="Q15" s="81" t="s">
        <v>702</v>
      </c>
      <c r="R15" s="81"/>
      <c r="S15" s="81"/>
      <c r="T15" s="81"/>
      <c r="W15" s="65">
        <f t="shared" si="0"/>
        <v>6</v>
      </c>
      <c r="X15" s="81" t="s">
        <v>681</v>
      </c>
      <c r="Y15" s="81" t="s">
        <v>682</v>
      </c>
      <c r="Z15" s="81"/>
      <c r="AA15" s="81"/>
      <c r="AB15" s="81"/>
      <c r="AC15" s="81"/>
      <c r="AD15" s="81"/>
      <c r="AE15" s="81"/>
      <c r="AF15" s="81"/>
      <c r="AG15" s="81"/>
      <c r="AH15" s="81"/>
      <c r="AI15" s="81"/>
      <c r="AJ15" s="81"/>
      <c r="AK15" s="81"/>
      <c r="AL15" s="81"/>
    </row>
    <row r="16" spans="1:38">
      <c r="B16" s="60" t="s">
        <v>107</v>
      </c>
      <c r="C16" s="80"/>
      <c r="D16" s="60" t="s">
        <v>660</v>
      </c>
      <c r="F16" s="60" t="s">
        <v>651</v>
      </c>
      <c r="G16" s="61"/>
      <c r="H16" s="64" t="s">
        <v>652</v>
      </c>
      <c r="I16" s="61"/>
      <c r="K16" s="65">
        <v>120</v>
      </c>
      <c r="L16" s="65">
        <v>60</v>
      </c>
      <c r="M16" s="65">
        <v>300</v>
      </c>
      <c r="N16" s="65">
        <v>300</v>
      </c>
      <c r="O16" s="77" t="s">
        <v>661</v>
      </c>
      <c r="Q16" s="81" t="s">
        <v>702</v>
      </c>
      <c r="R16" s="81"/>
      <c r="S16" s="81"/>
      <c r="T16" s="81"/>
      <c r="W16" s="65">
        <f t="shared" si="0"/>
        <v>7</v>
      </c>
      <c r="X16" s="81" t="s">
        <v>681</v>
      </c>
      <c r="Y16" s="81" t="s">
        <v>682</v>
      </c>
      <c r="Z16" s="81"/>
      <c r="AA16" s="81"/>
      <c r="AB16" s="81"/>
      <c r="AC16" s="81"/>
      <c r="AD16" s="81"/>
      <c r="AE16" s="81"/>
      <c r="AF16" s="81"/>
      <c r="AG16" s="81"/>
      <c r="AH16" s="81"/>
      <c r="AI16" s="81"/>
      <c r="AJ16" s="81"/>
      <c r="AK16" s="81"/>
      <c r="AL16" s="81"/>
    </row>
    <row r="17" spans="2:38">
      <c r="B17" s="60" t="s">
        <v>649</v>
      </c>
      <c r="C17" s="80" t="s">
        <v>105</v>
      </c>
      <c r="D17" s="60"/>
      <c r="F17" s="60" t="s">
        <v>651</v>
      </c>
      <c r="G17" s="63" t="s">
        <v>2</v>
      </c>
      <c r="H17" s="64" t="s">
        <v>652</v>
      </c>
      <c r="I17" s="63" t="s">
        <v>8</v>
      </c>
      <c r="K17" s="65">
        <v>120</v>
      </c>
      <c r="L17" s="65">
        <v>60</v>
      </c>
      <c r="M17" s="65">
        <v>340</v>
      </c>
      <c r="N17" s="65">
        <v>380</v>
      </c>
      <c r="O17" s="77" t="str">
        <f>"Financial Statements "&amp; 'Report#1'!$E$1&amp;" vs "&amp;'Report#1'!$K$1</f>
        <v>Financial Statements FIAT vs TOYOTA</v>
      </c>
      <c r="Q17" s="81" t="s">
        <v>702</v>
      </c>
      <c r="R17" s="81"/>
      <c r="S17" s="81"/>
      <c r="T17" s="81"/>
      <c r="W17" s="65">
        <f t="shared" si="0"/>
        <v>8</v>
      </c>
      <c r="X17" s="81" t="s">
        <v>681</v>
      </c>
      <c r="Y17" s="81" t="s">
        <v>682</v>
      </c>
      <c r="Z17" s="81"/>
      <c r="AA17" s="81"/>
      <c r="AB17" s="81"/>
      <c r="AC17" s="81"/>
      <c r="AD17" s="81"/>
      <c r="AE17" s="81"/>
      <c r="AF17" s="81"/>
      <c r="AG17" s="81"/>
      <c r="AH17" s="81"/>
      <c r="AI17" s="81"/>
      <c r="AJ17" s="81"/>
      <c r="AK17" s="81"/>
      <c r="AL17" s="81"/>
    </row>
    <row r="18" spans="2:38">
      <c r="B18" s="60" t="s">
        <v>649</v>
      </c>
      <c r="C18" s="80" t="s">
        <v>662</v>
      </c>
      <c r="D18" s="60"/>
      <c r="F18" s="60" t="s">
        <v>651</v>
      </c>
      <c r="G18" s="63" t="str">
        <f>G17</f>
        <v>CNHI</v>
      </c>
      <c r="H18" s="64" t="s">
        <v>652</v>
      </c>
      <c r="I18" s="63" t="s">
        <v>8</v>
      </c>
      <c r="K18" s="65">
        <v>120</v>
      </c>
      <c r="L18" s="65">
        <v>60</v>
      </c>
      <c r="M18" s="65">
        <v>340</v>
      </c>
      <c r="N18" s="65">
        <v>380</v>
      </c>
      <c r="O18" s="77" t="str">
        <f>"Indicators "&amp; 'Report#1'!$E$1&amp;" vs "&amp;'Report#1'!$K$1</f>
        <v>Indicators FIAT vs TOYOTA</v>
      </c>
      <c r="Q18" s="81" t="s">
        <v>702</v>
      </c>
      <c r="R18" s="81"/>
      <c r="S18" s="81"/>
      <c r="T18" s="81"/>
      <c r="W18" s="65">
        <f t="shared" si="0"/>
        <v>9</v>
      </c>
      <c r="X18" s="81" t="s">
        <v>681</v>
      </c>
      <c r="Y18" s="81" t="s">
        <v>682</v>
      </c>
      <c r="Z18" s="81"/>
      <c r="AA18" s="81"/>
      <c r="AB18" s="81"/>
      <c r="AC18" s="81"/>
      <c r="AD18" s="81"/>
      <c r="AE18" s="81"/>
      <c r="AF18" s="81"/>
      <c r="AG18" s="81"/>
      <c r="AH18" s="81"/>
      <c r="AI18" s="81"/>
      <c r="AJ18" s="81"/>
      <c r="AK18" s="81"/>
      <c r="AL18" s="81"/>
    </row>
    <row r="19" spans="2:38">
      <c r="B19" s="60" t="s">
        <v>107</v>
      </c>
      <c r="C19" s="80"/>
      <c r="D19" s="60" t="s">
        <v>660</v>
      </c>
      <c r="F19" s="60" t="s">
        <v>651</v>
      </c>
      <c r="G19" s="61"/>
      <c r="H19" s="64" t="s">
        <v>652</v>
      </c>
      <c r="I19" s="61"/>
      <c r="K19" s="65">
        <v>120</v>
      </c>
      <c r="L19" s="65">
        <v>60</v>
      </c>
      <c r="M19" s="65">
        <v>300</v>
      </c>
      <c r="N19" s="65">
        <v>300</v>
      </c>
      <c r="O19" s="77" t="s">
        <v>661</v>
      </c>
      <c r="Q19" s="81" t="s">
        <v>702</v>
      </c>
      <c r="R19" s="81"/>
      <c r="S19" s="81"/>
      <c r="T19" s="81"/>
      <c r="W19" s="65">
        <f t="shared" si="0"/>
        <v>10</v>
      </c>
      <c r="X19" s="81" t="s">
        <v>681</v>
      </c>
      <c r="Y19" s="81" t="s">
        <v>682</v>
      </c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</row>
    <row r="20" spans="2:38">
      <c r="B20" s="60" t="s">
        <v>649</v>
      </c>
      <c r="C20" s="80" t="s">
        <v>105</v>
      </c>
      <c r="D20" s="60"/>
      <c r="F20" s="60" t="s">
        <v>651</v>
      </c>
      <c r="G20" s="63" t="s">
        <v>8</v>
      </c>
      <c r="H20" s="64" t="s">
        <v>652</v>
      </c>
      <c r="I20" s="63" t="s">
        <v>10</v>
      </c>
      <c r="K20" s="65">
        <v>120</v>
      </c>
      <c r="L20" s="65">
        <v>60</v>
      </c>
      <c r="M20" s="65">
        <v>340</v>
      </c>
      <c r="N20" s="65">
        <v>380</v>
      </c>
      <c r="O20" s="77" t="str">
        <f>"Financial Statements "&amp; 'Report#1'!$E$1&amp;" vs "&amp;'Report#1'!$K$1</f>
        <v>Financial Statements FIAT vs TOYOTA</v>
      </c>
      <c r="Q20" s="81" t="s">
        <v>702</v>
      </c>
      <c r="R20" s="81"/>
      <c r="S20" s="81"/>
      <c r="T20" s="81"/>
      <c r="W20" s="65">
        <f t="shared" si="0"/>
        <v>11</v>
      </c>
      <c r="X20" s="81" t="s">
        <v>681</v>
      </c>
      <c r="Y20" s="81" t="s">
        <v>682</v>
      </c>
      <c r="Z20" s="81"/>
      <c r="AA20" s="81"/>
      <c r="AB20" s="81"/>
      <c r="AC20" s="81"/>
      <c r="AD20" s="81"/>
      <c r="AE20" s="81"/>
      <c r="AF20" s="81"/>
      <c r="AG20" s="81"/>
      <c r="AH20" s="81"/>
      <c r="AI20" s="81"/>
      <c r="AJ20" s="81"/>
      <c r="AK20" s="81"/>
      <c r="AL20" s="81"/>
    </row>
    <row r="21" spans="2:38">
      <c r="B21" s="60" t="s">
        <v>649</v>
      </c>
      <c r="C21" s="80" t="s">
        <v>662</v>
      </c>
      <c r="D21" s="60"/>
      <c r="F21" s="60" t="s">
        <v>651</v>
      </c>
      <c r="G21" s="63" t="str">
        <f>G20</f>
        <v>FIAT</v>
      </c>
      <c r="H21" s="64" t="s">
        <v>652</v>
      </c>
      <c r="I21" s="63" t="str">
        <f>I20</f>
        <v>VOLKS</v>
      </c>
      <c r="K21" s="65">
        <v>120</v>
      </c>
      <c r="L21" s="65">
        <v>60</v>
      </c>
      <c r="M21" s="65">
        <v>340</v>
      </c>
      <c r="N21" s="65">
        <v>380</v>
      </c>
      <c r="O21" s="77" t="str">
        <f>"Indicators "&amp; 'Report#1'!$E$1&amp;" vs "&amp;'Report#1'!$K$1</f>
        <v>Indicators FIAT vs TOYOTA</v>
      </c>
      <c r="Q21" s="81" t="s">
        <v>702</v>
      </c>
      <c r="R21" s="81"/>
      <c r="S21" s="81"/>
      <c r="T21" s="81"/>
      <c r="W21" s="65">
        <f t="shared" si="0"/>
        <v>12</v>
      </c>
      <c r="X21" s="81" t="s">
        <v>681</v>
      </c>
      <c r="Y21" s="81" t="s">
        <v>682</v>
      </c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</row>
    <row r="22" spans="2:38">
      <c r="B22" s="60" t="s">
        <v>107</v>
      </c>
      <c r="C22" s="80"/>
      <c r="D22" s="60" t="s">
        <v>660</v>
      </c>
      <c r="F22" s="60" t="s">
        <v>651</v>
      </c>
      <c r="G22" s="61"/>
      <c r="H22" s="64" t="s">
        <v>652</v>
      </c>
      <c r="I22" s="61"/>
      <c r="K22" s="65">
        <v>120</v>
      </c>
      <c r="L22" s="65">
        <v>60</v>
      </c>
      <c r="M22" s="65">
        <v>300</v>
      </c>
      <c r="N22" s="65">
        <v>300</v>
      </c>
      <c r="O22" s="77" t="s">
        <v>661</v>
      </c>
      <c r="Q22" s="81" t="s">
        <v>702</v>
      </c>
      <c r="R22" s="81"/>
      <c r="S22" s="81"/>
      <c r="T22" s="81"/>
      <c r="W22" s="65">
        <f t="shared" si="0"/>
        <v>13</v>
      </c>
      <c r="X22" s="81" t="s">
        <v>681</v>
      </c>
      <c r="Y22" s="81" t="s">
        <v>682</v>
      </c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81"/>
      <c r="AK22" s="81"/>
      <c r="AL22" s="81"/>
    </row>
    <row r="23" spans="2:38">
      <c r="B23" s="60" t="s">
        <v>649</v>
      </c>
      <c r="C23" s="80" t="s">
        <v>105</v>
      </c>
      <c r="D23" s="60"/>
      <c r="F23" s="60" t="s">
        <v>651</v>
      </c>
      <c r="G23" s="63" t="s">
        <v>8</v>
      </c>
      <c r="H23" s="64" t="s">
        <v>652</v>
      </c>
      <c r="I23" s="63" t="s">
        <v>14</v>
      </c>
      <c r="K23" s="65">
        <v>120</v>
      </c>
      <c r="L23" s="65">
        <v>60</v>
      </c>
      <c r="M23" s="65">
        <v>340</v>
      </c>
      <c r="N23" s="65">
        <v>380</v>
      </c>
      <c r="O23" s="77" t="str">
        <f>"Financial Statements "&amp; 'Report#1'!$E$1&amp;" vs "&amp;'Report#1'!$K$1</f>
        <v>Financial Statements FIAT vs TOYOTA</v>
      </c>
      <c r="Q23" s="81" t="s">
        <v>702</v>
      </c>
      <c r="R23" s="81"/>
      <c r="S23" s="81"/>
      <c r="T23" s="81"/>
      <c r="W23" s="65">
        <f t="shared" si="0"/>
        <v>14</v>
      </c>
      <c r="X23" s="81" t="s">
        <v>681</v>
      </c>
      <c r="Y23" s="81" t="s">
        <v>682</v>
      </c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</row>
    <row r="24" spans="2:38">
      <c r="B24" s="60" t="s">
        <v>649</v>
      </c>
      <c r="C24" s="80" t="s">
        <v>662</v>
      </c>
      <c r="D24" s="60"/>
      <c r="F24" s="60" t="s">
        <v>651</v>
      </c>
      <c r="G24" s="63" t="str">
        <f>G23</f>
        <v>FIAT</v>
      </c>
      <c r="H24" s="64" t="s">
        <v>652</v>
      </c>
      <c r="I24" s="63" t="str">
        <f>I23</f>
        <v>GMC</v>
      </c>
      <c r="K24" s="65">
        <v>120</v>
      </c>
      <c r="L24" s="65">
        <v>60</v>
      </c>
      <c r="M24" s="65">
        <v>340</v>
      </c>
      <c r="N24" s="65">
        <v>380</v>
      </c>
      <c r="O24" s="77" t="str">
        <f>"Indicators "&amp; 'Report#1'!$E$1&amp;" vs "&amp;'Report#1'!$K$1</f>
        <v>Indicators FIAT vs TOYOTA</v>
      </c>
      <c r="Q24" s="81" t="s">
        <v>702</v>
      </c>
      <c r="R24" s="81"/>
      <c r="S24" s="81"/>
      <c r="T24" s="81"/>
      <c r="W24" s="65">
        <f t="shared" si="0"/>
        <v>15</v>
      </c>
      <c r="X24" s="81" t="s">
        <v>681</v>
      </c>
      <c r="Y24" s="81" t="s">
        <v>682</v>
      </c>
      <c r="Z24" s="81"/>
      <c r="AA24" s="81"/>
      <c r="AB24" s="81"/>
      <c r="AC24" s="81"/>
      <c r="AD24" s="81"/>
      <c r="AE24" s="81"/>
      <c r="AF24" s="81"/>
      <c r="AG24" s="81"/>
      <c r="AH24" s="81"/>
      <c r="AI24" s="81"/>
      <c r="AJ24" s="81"/>
      <c r="AK24" s="81"/>
      <c r="AL24" s="81"/>
    </row>
    <row r="25" spans="2:38">
      <c r="B25" s="60" t="s">
        <v>107</v>
      </c>
      <c r="C25" s="80"/>
      <c r="D25" s="60" t="s">
        <v>660</v>
      </c>
      <c r="F25" s="60" t="s">
        <v>651</v>
      </c>
      <c r="G25" s="61"/>
      <c r="H25" s="64" t="s">
        <v>652</v>
      </c>
      <c r="I25" s="61"/>
      <c r="K25" s="65">
        <v>120</v>
      </c>
      <c r="L25" s="65">
        <v>60</v>
      </c>
      <c r="M25" s="65">
        <v>300</v>
      </c>
      <c r="N25" s="65">
        <v>300</v>
      </c>
      <c r="O25" s="77" t="s">
        <v>661</v>
      </c>
      <c r="Q25" s="81" t="s">
        <v>702</v>
      </c>
      <c r="R25" s="81"/>
      <c r="S25" s="81"/>
      <c r="T25" s="81"/>
      <c r="W25" s="65">
        <f t="shared" si="0"/>
        <v>16</v>
      </c>
      <c r="X25" s="81" t="s">
        <v>681</v>
      </c>
      <c r="Y25" s="81" t="s">
        <v>682</v>
      </c>
      <c r="Z25" s="81"/>
      <c r="AA25" s="81"/>
      <c r="AB25" s="81"/>
      <c r="AC25" s="81"/>
      <c r="AD25" s="81"/>
      <c r="AE25" s="81"/>
      <c r="AF25" s="81"/>
      <c r="AG25" s="81"/>
      <c r="AH25" s="81"/>
      <c r="AI25" s="81"/>
      <c r="AJ25" s="81"/>
      <c r="AK25" s="81"/>
      <c r="AL25" s="81"/>
    </row>
    <row r="26" spans="2:38">
      <c r="B26" s="60" t="s">
        <v>649</v>
      </c>
      <c r="C26" s="80" t="s">
        <v>105</v>
      </c>
      <c r="D26" s="60"/>
      <c r="F26" s="60" t="s">
        <v>651</v>
      </c>
      <c r="G26" s="63" t="s">
        <v>8</v>
      </c>
      <c r="H26" s="64" t="s">
        <v>652</v>
      </c>
      <c r="I26" s="63" t="s">
        <v>12</v>
      </c>
      <c r="K26" s="65">
        <v>120</v>
      </c>
      <c r="L26" s="65">
        <v>60</v>
      </c>
      <c r="M26" s="65">
        <v>340</v>
      </c>
      <c r="N26" s="65">
        <v>380</v>
      </c>
      <c r="O26" s="77" t="str">
        <f>"Financial Statements "&amp; 'Report#1'!$E$1&amp;" vs "&amp;'Report#1'!$K$1</f>
        <v>Financial Statements FIAT vs TOYOTA</v>
      </c>
      <c r="Q26" s="81" t="s">
        <v>702</v>
      </c>
      <c r="R26" s="81"/>
      <c r="S26" s="81"/>
      <c r="T26" s="81"/>
      <c r="W26" s="65">
        <f t="shared" si="0"/>
        <v>17</v>
      </c>
      <c r="X26" s="81" t="s">
        <v>681</v>
      </c>
      <c r="Y26" s="81" t="s">
        <v>682</v>
      </c>
      <c r="Z26" s="81"/>
      <c r="AA26" s="81"/>
      <c r="AB26" s="81"/>
      <c r="AC26" s="81"/>
      <c r="AD26" s="81"/>
      <c r="AE26" s="81"/>
      <c r="AF26" s="81"/>
      <c r="AG26" s="81"/>
      <c r="AH26" s="81"/>
      <c r="AI26" s="81"/>
      <c r="AJ26" s="81"/>
      <c r="AK26" s="81"/>
      <c r="AL26" s="81"/>
    </row>
    <row r="27" spans="2:38">
      <c r="B27" s="60" t="s">
        <v>649</v>
      </c>
      <c r="C27" s="80" t="s">
        <v>662</v>
      </c>
      <c r="D27" s="60"/>
      <c r="F27" s="60" t="s">
        <v>651</v>
      </c>
      <c r="G27" s="63" t="str">
        <f>G26</f>
        <v>FIAT</v>
      </c>
      <c r="H27" s="64" t="s">
        <v>652</v>
      </c>
      <c r="I27" s="63" t="str">
        <f>I26</f>
        <v>FORD</v>
      </c>
      <c r="K27" s="65">
        <v>120</v>
      </c>
      <c r="L27" s="65">
        <v>60</v>
      </c>
      <c r="M27" s="65">
        <v>340</v>
      </c>
      <c r="N27" s="65">
        <v>380</v>
      </c>
      <c r="O27" s="77" t="str">
        <f>"Indicators "&amp; 'Report#1'!$E$1&amp;" vs "&amp;'Report#1'!$K$1</f>
        <v>Indicators FIAT vs TOYOTA</v>
      </c>
      <c r="Q27" s="81" t="s">
        <v>702</v>
      </c>
      <c r="R27" s="81"/>
      <c r="S27" s="81"/>
      <c r="T27" s="81"/>
      <c r="W27" s="65">
        <f t="shared" si="0"/>
        <v>18</v>
      </c>
      <c r="X27" s="81" t="s">
        <v>681</v>
      </c>
      <c r="Y27" s="81" t="s">
        <v>682</v>
      </c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</row>
    <row r="28" spans="2:38">
      <c r="B28" s="60" t="s">
        <v>107</v>
      </c>
      <c r="C28" s="80"/>
      <c r="D28" s="60" t="s">
        <v>660</v>
      </c>
      <c r="F28" s="60" t="s">
        <v>651</v>
      </c>
      <c r="G28" s="61"/>
      <c r="H28" s="64" t="s">
        <v>652</v>
      </c>
      <c r="I28" s="61"/>
      <c r="K28" s="65">
        <v>120</v>
      </c>
      <c r="L28" s="65">
        <v>60</v>
      </c>
      <c r="M28" s="65">
        <v>300</v>
      </c>
      <c r="N28" s="65">
        <v>300</v>
      </c>
      <c r="O28" s="77" t="s">
        <v>661</v>
      </c>
      <c r="Q28" s="81" t="s">
        <v>702</v>
      </c>
      <c r="R28" s="81"/>
      <c r="S28" s="81"/>
      <c r="T28" s="81"/>
      <c r="W28" s="65">
        <f t="shared" si="0"/>
        <v>19</v>
      </c>
      <c r="X28" s="81" t="s">
        <v>681</v>
      </c>
      <c r="Y28" s="81" t="s">
        <v>682</v>
      </c>
      <c r="Z28" s="81"/>
      <c r="AA28" s="81"/>
      <c r="AB28" s="81"/>
      <c r="AC28" s="81"/>
      <c r="AD28" s="81"/>
      <c r="AE28" s="81"/>
      <c r="AF28" s="81"/>
      <c r="AG28" s="81"/>
      <c r="AH28" s="81"/>
      <c r="AI28" s="81"/>
      <c r="AJ28" s="81"/>
      <c r="AK28" s="81"/>
      <c r="AL28" s="81"/>
    </row>
    <row r="29" spans="2:38">
      <c r="B29" s="60" t="s">
        <v>649</v>
      </c>
      <c r="C29" s="80" t="s">
        <v>105</v>
      </c>
      <c r="D29" s="60"/>
      <c r="F29" s="60" t="s">
        <v>651</v>
      </c>
      <c r="G29" s="63" t="s">
        <v>8</v>
      </c>
      <c r="H29" s="64" t="s">
        <v>652</v>
      </c>
      <c r="I29" s="63" t="s">
        <v>16</v>
      </c>
      <c r="K29" s="65">
        <v>120</v>
      </c>
      <c r="L29" s="65">
        <v>60</v>
      </c>
      <c r="M29" s="65">
        <v>340</v>
      </c>
      <c r="N29" s="65">
        <v>380</v>
      </c>
      <c r="O29" s="77" t="str">
        <f>"Financial Statements "&amp; 'Report#1'!$E$1&amp;" vs "&amp;'Report#1'!$K$1</f>
        <v>Financial Statements FIAT vs TOYOTA</v>
      </c>
      <c r="Q29" s="81" t="s">
        <v>702</v>
      </c>
      <c r="R29" s="81"/>
      <c r="S29" s="81"/>
      <c r="T29" s="81"/>
      <c r="W29" s="65">
        <f t="shared" si="0"/>
        <v>20</v>
      </c>
      <c r="X29" s="81" t="s">
        <v>681</v>
      </c>
      <c r="Y29" s="81" t="s">
        <v>682</v>
      </c>
      <c r="Z29" s="81"/>
      <c r="AA29" s="81"/>
      <c r="AB29" s="81"/>
      <c r="AC29" s="81"/>
      <c r="AD29" s="81"/>
      <c r="AE29" s="81"/>
      <c r="AF29" s="81"/>
      <c r="AG29" s="81"/>
      <c r="AH29" s="81"/>
      <c r="AI29" s="81"/>
      <c r="AJ29" s="81"/>
      <c r="AK29" s="81"/>
      <c r="AL29" s="81"/>
    </row>
    <row r="30" spans="2:38">
      <c r="B30" s="60" t="s">
        <v>649</v>
      </c>
      <c r="C30" s="80" t="s">
        <v>662</v>
      </c>
      <c r="D30" s="60"/>
      <c r="F30" s="60" t="s">
        <v>651</v>
      </c>
      <c r="G30" s="63" t="str">
        <f>G29</f>
        <v>FIAT</v>
      </c>
      <c r="H30" s="64" t="s">
        <v>652</v>
      </c>
      <c r="I30" s="63" t="s">
        <v>16</v>
      </c>
      <c r="K30" s="65">
        <v>120</v>
      </c>
      <c r="L30" s="65">
        <v>60</v>
      </c>
      <c r="M30" s="65">
        <v>340</v>
      </c>
      <c r="N30" s="65">
        <v>380</v>
      </c>
      <c r="O30" s="77" t="str">
        <f>"Indicators "&amp; 'Report#1'!$E$1&amp;" vs "&amp;'Report#1'!$K$1</f>
        <v>Indicators FIAT vs TOYOTA</v>
      </c>
      <c r="Q30" s="81" t="s">
        <v>702</v>
      </c>
      <c r="R30" s="81"/>
      <c r="S30" s="81"/>
      <c r="T30" s="81"/>
      <c r="W30" s="65">
        <f t="shared" si="0"/>
        <v>21</v>
      </c>
      <c r="X30" s="81" t="s">
        <v>681</v>
      </c>
      <c r="Y30" s="81" t="s">
        <v>682</v>
      </c>
      <c r="Z30" s="81"/>
      <c r="AA30" s="81"/>
      <c r="AB30" s="81"/>
      <c r="AC30" s="81"/>
      <c r="AD30" s="81"/>
      <c r="AE30" s="81"/>
      <c r="AF30" s="81"/>
      <c r="AG30" s="81"/>
      <c r="AH30" s="81"/>
      <c r="AI30" s="81"/>
      <c r="AJ30" s="81"/>
      <c r="AK30" s="81"/>
      <c r="AL30" s="81"/>
    </row>
    <row r="31" spans="2:38">
      <c r="B31" s="60" t="s">
        <v>107</v>
      </c>
      <c r="C31" s="80"/>
      <c r="D31" s="60" t="s">
        <v>660</v>
      </c>
      <c r="F31" s="60" t="s">
        <v>651</v>
      </c>
      <c r="G31" s="61"/>
      <c r="H31" s="64" t="s">
        <v>652</v>
      </c>
      <c r="I31" s="61"/>
      <c r="K31" s="65">
        <v>120</v>
      </c>
      <c r="L31" s="65">
        <v>60</v>
      </c>
      <c r="M31" s="65">
        <v>300</v>
      </c>
      <c r="N31" s="65">
        <v>300</v>
      </c>
      <c r="O31" s="77" t="s">
        <v>661</v>
      </c>
      <c r="Q31" s="81" t="s">
        <v>702</v>
      </c>
      <c r="R31" s="81"/>
      <c r="S31" s="81"/>
      <c r="T31" s="81"/>
      <c r="W31" s="65">
        <f t="shared" si="0"/>
        <v>22</v>
      </c>
      <c r="X31" s="81" t="s">
        <v>681</v>
      </c>
      <c r="Y31" s="81" t="s">
        <v>682</v>
      </c>
      <c r="Z31" s="81"/>
      <c r="AA31" s="81"/>
      <c r="AB31" s="81"/>
      <c r="AC31" s="81"/>
      <c r="AD31" s="81"/>
      <c r="AE31" s="81"/>
      <c r="AF31" s="81"/>
      <c r="AG31" s="81"/>
      <c r="AH31" s="81"/>
      <c r="AI31" s="81"/>
      <c r="AJ31" s="81"/>
      <c r="AK31" s="81"/>
      <c r="AL31" s="81"/>
    </row>
    <row r="32" spans="2:38">
      <c r="B32" s="60"/>
      <c r="C32" s="80"/>
      <c r="D32" s="60"/>
      <c r="F32" s="60"/>
      <c r="G32" s="60"/>
      <c r="H32" s="60"/>
      <c r="I32" s="60"/>
      <c r="K32" s="60"/>
      <c r="L32" s="60"/>
      <c r="M32" s="60"/>
      <c r="N32" s="60"/>
      <c r="O32" s="77"/>
      <c r="Q32" s="81"/>
      <c r="R32" s="81"/>
      <c r="S32" s="81"/>
      <c r="T32" s="81"/>
      <c r="W32" s="65">
        <f t="shared" si="0"/>
        <v>23</v>
      </c>
      <c r="X32" s="81" t="s">
        <v>681</v>
      </c>
      <c r="Y32" s="81" t="s">
        <v>682</v>
      </c>
      <c r="Z32" s="81"/>
      <c r="AA32" s="81"/>
      <c r="AB32" s="81"/>
      <c r="AC32" s="81"/>
      <c r="AD32" s="81"/>
      <c r="AE32" s="81"/>
      <c r="AF32" s="81"/>
      <c r="AG32" s="81"/>
      <c r="AH32" s="81"/>
      <c r="AI32" s="81"/>
      <c r="AJ32" s="81"/>
      <c r="AK32" s="81"/>
      <c r="AL32" s="81"/>
    </row>
    <row r="33" spans="2:38">
      <c r="B33" s="60"/>
      <c r="C33" s="80"/>
      <c r="D33" s="60"/>
      <c r="F33" s="60"/>
      <c r="G33" s="60"/>
      <c r="H33" s="60"/>
      <c r="I33" s="60"/>
      <c r="K33" s="60"/>
      <c r="L33" s="60"/>
      <c r="M33" s="60"/>
      <c r="N33" s="60"/>
      <c r="O33" s="77"/>
      <c r="Q33" s="81"/>
      <c r="R33" s="81"/>
      <c r="S33" s="81"/>
      <c r="T33" s="81"/>
      <c r="W33" s="65">
        <f t="shared" si="0"/>
        <v>24</v>
      </c>
      <c r="X33" s="81"/>
      <c r="Y33" s="81"/>
      <c r="Z33" s="81"/>
      <c r="AA33" s="81"/>
      <c r="AB33" s="81"/>
      <c r="AC33" s="81"/>
      <c r="AD33" s="81"/>
      <c r="AE33" s="81"/>
      <c r="AF33" s="81"/>
      <c r="AG33" s="81"/>
      <c r="AH33" s="81"/>
      <c r="AI33" s="81"/>
      <c r="AJ33" s="81"/>
      <c r="AK33" s="81"/>
      <c r="AL33" s="81"/>
    </row>
    <row r="34" spans="2:38">
      <c r="B34" s="60"/>
      <c r="C34" s="80"/>
      <c r="D34" s="60"/>
      <c r="F34" s="60"/>
      <c r="G34" s="60"/>
      <c r="H34" s="60"/>
      <c r="I34" s="60"/>
      <c r="K34" s="60"/>
      <c r="L34" s="60"/>
      <c r="M34" s="60"/>
      <c r="N34" s="60"/>
      <c r="O34" s="77"/>
      <c r="Q34" s="81"/>
      <c r="R34" s="81"/>
      <c r="S34" s="81"/>
      <c r="T34" s="81"/>
      <c r="W34" s="65">
        <f t="shared" si="0"/>
        <v>25</v>
      </c>
      <c r="X34" s="81"/>
      <c r="Y34" s="81"/>
      <c r="Z34" s="81"/>
      <c r="AA34" s="81"/>
      <c r="AB34" s="81"/>
      <c r="AC34" s="81"/>
      <c r="AD34" s="81"/>
      <c r="AE34" s="81"/>
      <c r="AF34" s="81"/>
      <c r="AG34" s="81"/>
      <c r="AH34" s="81"/>
      <c r="AI34" s="81"/>
      <c r="AJ34" s="81"/>
      <c r="AK34" s="81"/>
      <c r="AL34" s="81"/>
    </row>
    <row r="35" spans="2:38">
      <c r="B35" s="60"/>
      <c r="C35" s="80"/>
      <c r="D35" s="60"/>
      <c r="F35" s="60"/>
      <c r="G35" s="60"/>
      <c r="H35" s="60"/>
      <c r="I35" s="60"/>
      <c r="K35" s="60"/>
      <c r="L35" s="60"/>
      <c r="M35" s="60"/>
      <c r="N35" s="60"/>
      <c r="O35" s="77"/>
      <c r="Q35" s="81"/>
      <c r="R35" s="81"/>
      <c r="S35" s="81"/>
      <c r="T35" s="81"/>
      <c r="W35" s="65">
        <f t="shared" si="0"/>
        <v>26</v>
      </c>
      <c r="X35" s="81"/>
      <c r="Y35" s="81"/>
      <c r="Z35" s="81"/>
      <c r="AA35" s="81"/>
      <c r="AB35" s="81"/>
      <c r="AC35" s="81"/>
      <c r="AD35" s="81"/>
      <c r="AE35" s="81"/>
      <c r="AF35" s="81"/>
      <c r="AG35" s="81"/>
      <c r="AH35" s="81"/>
      <c r="AI35" s="81"/>
      <c r="AJ35" s="81"/>
      <c r="AK35" s="81"/>
      <c r="AL35" s="81"/>
    </row>
    <row r="36" spans="2:38">
      <c r="B36" s="60"/>
      <c r="C36" s="80"/>
      <c r="D36" s="60"/>
      <c r="F36" s="60"/>
      <c r="G36" s="60"/>
      <c r="H36" s="60"/>
      <c r="I36" s="60"/>
      <c r="K36" s="60"/>
      <c r="L36" s="60"/>
      <c r="M36" s="60"/>
      <c r="N36" s="60"/>
      <c r="O36" s="77"/>
      <c r="Q36" s="81"/>
      <c r="R36" s="81"/>
      <c r="S36" s="81"/>
      <c r="T36" s="81"/>
      <c r="W36" s="65">
        <f t="shared" si="0"/>
        <v>27</v>
      </c>
      <c r="X36" s="81"/>
      <c r="Y36" s="81"/>
      <c r="Z36" s="81"/>
      <c r="AA36" s="81"/>
      <c r="AB36" s="81"/>
      <c r="AC36" s="81"/>
      <c r="AD36" s="81"/>
      <c r="AE36" s="81"/>
      <c r="AF36" s="81"/>
      <c r="AG36" s="81"/>
      <c r="AH36" s="81"/>
      <c r="AI36" s="81"/>
      <c r="AJ36" s="81"/>
      <c r="AK36" s="81"/>
      <c r="AL36" s="81"/>
    </row>
    <row r="37" spans="2:38">
      <c r="B37" s="60"/>
      <c r="C37" s="80"/>
      <c r="D37" s="60"/>
      <c r="F37" s="60"/>
      <c r="G37" s="60"/>
      <c r="H37" s="60"/>
      <c r="I37" s="60"/>
      <c r="K37" s="60"/>
      <c r="L37" s="60"/>
      <c r="M37" s="60"/>
      <c r="N37" s="60"/>
      <c r="O37" s="77"/>
      <c r="Q37" s="81"/>
      <c r="R37" s="81"/>
      <c r="S37" s="81"/>
      <c r="T37" s="81"/>
      <c r="W37" s="65">
        <f t="shared" si="0"/>
        <v>28</v>
      </c>
      <c r="X37" s="81"/>
      <c r="Y37" s="81"/>
      <c r="Z37" s="81"/>
      <c r="AA37" s="81"/>
      <c r="AB37" s="81"/>
      <c r="AC37" s="81"/>
      <c r="AD37" s="81"/>
      <c r="AE37" s="81"/>
      <c r="AF37" s="81"/>
      <c r="AG37" s="81"/>
      <c r="AH37" s="81"/>
      <c r="AI37" s="81"/>
      <c r="AJ37" s="81"/>
      <c r="AK37" s="81"/>
      <c r="AL37" s="81"/>
    </row>
    <row r="38" spans="2:38">
      <c r="B38" s="60"/>
      <c r="C38" s="80"/>
      <c r="D38" s="60"/>
      <c r="F38" s="60"/>
      <c r="G38" s="60"/>
      <c r="H38" s="60"/>
      <c r="I38" s="60"/>
      <c r="K38" s="60"/>
      <c r="L38" s="60"/>
      <c r="M38" s="60"/>
      <c r="N38" s="60"/>
      <c r="O38" s="77"/>
      <c r="Q38" s="81"/>
      <c r="R38" s="81"/>
      <c r="S38" s="81"/>
      <c r="T38" s="81"/>
      <c r="W38" s="65">
        <f t="shared" si="0"/>
        <v>29</v>
      </c>
      <c r="X38" s="81"/>
      <c r="Y38" s="81"/>
      <c r="Z38" s="81"/>
      <c r="AA38" s="81"/>
      <c r="AB38" s="81"/>
      <c r="AC38" s="81"/>
      <c r="AD38" s="81"/>
      <c r="AE38" s="81"/>
      <c r="AF38" s="81"/>
      <c r="AG38" s="81"/>
      <c r="AH38" s="81"/>
      <c r="AI38" s="81"/>
      <c r="AJ38" s="81"/>
      <c r="AK38" s="81"/>
      <c r="AL38" s="81"/>
    </row>
    <row r="39" spans="2:38">
      <c r="B39" s="60"/>
      <c r="C39" s="80"/>
      <c r="D39" s="60"/>
      <c r="F39" s="60"/>
      <c r="G39" s="60"/>
      <c r="H39" s="60"/>
      <c r="I39" s="60"/>
      <c r="K39" s="60"/>
      <c r="L39" s="60"/>
      <c r="M39" s="60"/>
      <c r="N39" s="60"/>
      <c r="O39" s="77"/>
      <c r="Q39" s="81"/>
      <c r="R39" s="81"/>
      <c r="S39" s="81"/>
      <c r="T39" s="81"/>
      <c r="W39" s="65">
        <f t="shared" si="0"/>
        <v>30</v>
      </c>
      <c r="X39" s="81"/>
      <c r="Y39" s="81"/>
      <c r="Z39" s="81"/>
      <c r="AA39" s="81"/>
      <c r="AB39" s="81"/>
      <c r="AC39" s="81"/>
      <c r="AD39" s="81"/>
      <c r="AE39" s="81"/>
      <c r="AF39" s="81"/>
      <c r="AG39" s="81"/>
      <c r="AH39" s="81"/>
      <c r="AI39" s="81"/>
      <c r="AJ39" s="81"/>
      <c r="AK39" s="81"/>
      <c r="AL39" s="81"/>
    </row>
    <row r="40" spans="2:38">
      <c r="B40" s="60"/>
      <c r="C40" s="80"/>
      <c r="D40" s="60"/>
      <c r="F40" s="60"/>
      <c r="G40" s="60"/>
      <c r="H40" s="60"/>
      <c r="I40" s="60"/>
      <c r="K40" s="60"/>
      <c r="L40" s="60"/>
      <c r="M40" s="60"/>
      <c r="N40" s="60"/>
      <c r="O40" s="77"/>
      <c r="Q40" s="81"/>
      <c r="R40" s="81"/>
      <c r="S40" s="81"/>
      <c r="T40" s="81"/>
      <c r="W40" s="65">
        <f t="shared" si="0"/>
        <v>31</v>
      </c>
      <c r="X40" s="81"/>
      <c r="Y40" s="81"/>
      <c r="Z40" s="81"/>
      <c r="AA40" s="81"/>
      <c r="AB40" s="81"/>
      <c r="AC40" s="81"/>
      <c r="AD40" s="81"/>
      <c r="AE40" s="81"/>
      <c r="AF40" s="81"/>
      <c r="AG40" s="81"/>
      <c r="AH40" s="81"/>
      <c r="AI40" s="81"/>
      <c r="AJ40" s="81"/>
      <c r="AK40" s="81"/>
      <c r="AL40" s="81"/>
    </row>
    <row r="41" spans="2:38">
      <c r="B41" s="60"/>
      <c r="C41" s="80"/>
      <c r="D41" s="60"/>
      <c r="F41" s="60"/>
      <c r="G41" s="60"/>
      <c r="H41" s="60"/>
      <c r="I41" s="60"/>
      <c r="K41" s="60"/>
      <c r="L41" s="60"/>
      <c r="M41" s="60"/>
      <c r="N41" s="60"/>
      <c r="O41" s="77"/>
      <c r="Q41" s="81"/>
      <c r="R41" s="81"/>
      <c r="S41" s="81"/>
      <c r="T41" s="81"/>
      <c r="W41" s="65">
        <f t="shared" si="0"/>
        <v>32</v>
      </c>
      <c r="X41" s="81"/>
      <c r="Y41" s="81"/>
      <c r="Z41" s="81"/>
      <c r="AA41" s="81"/>
      <c r="AB41" s="81"/>
      <c r="AC41" s="81"/>
      <c r="AD41" s="81"/>
      <c r="AE41" s="81"/>
      <c r="AF41" s="81"/>
      <c r="AG41" s="81"/>
      <c r="AH41" s="81"/>
      <c r="AI41" s="81"/>
      <c r="AJ41" s="81"/>
      <c r="AK41" s="81"/>
      <c r="AL41" s="81"/>
    </row>
    <row r="42" spans="2:38">
      <c r="B42" s="60"/>
      <c r="C42" s="80"/>
      <c r="D42" s="60"/>
      <c r="F42" s="60"/>
      <c r="G42" s="60"/>
      <c r="H42" s="60"/>
      <c r="I42" s="60"/>
      <c r="K42" s="60"/>
      <c r="L42" s="60"/>
      <c r="M42" s="60"/>
      <c r="N42" s="60"/>
      <c r="O42" s="77"/>
      <c r="Q42" s="81"/>
      <c r="R42" s="81"/>
      <c r="S42" s="81"/>
      <c r="T42" s="81"/>
      <c r="W42" s="65">
        <f t="shared" si="0"/>
        <v>33</v>
      </c>
      <c r="X42" s="81"/>
      <c r="Y42" s="81"/>
      <c r="Z42" s="81"/>
      <c r="AA42" s="81"/>
      <c r="AB42" s="81"/>
      <c r="AC42" s="81"/>
      <c r="AD42" s="81"/>
      <c r="AE42" s="81"/>
      <c r="AF42" s="81"/>
      <c r="AG42" s="81"/>
      <c r="AH42" s="81"/>
      <c r="AI42" s="81"/>
      <c r="AJ42" s="81"/>
      <c r="AK42" s="81"/>
      <c r="AL42" s="81"/>
    </row>
    <row r="43" spans="2:38">
      <c r="B43" s="60"/>
      <c r="C43" s="80"/>
      <c r="D43" s="60"/>
      <c r="F43" s="60"/>
      <c r="G43" s="60"/>
      <c r="H43" s="60"/>
      <c r="I43" s="60"/>
      <c r="K43" s="60"/>
      <c r="L43" s="60"/>
      <c r="M43" s="60"/>
      <c r="N43" s="60"/>
      <c r="O43" s="77"/>
      <c r="Q43" s="81"/>
      <c r="R43" s="81"/>
      <c r="S43" s="81"/>
      <c r="T43" s="81"/>
      <c r="W43" s="65">
        <f t="shared" si="0"/>
        <v>34</v>
      </c>
      <c r="X43" s="81"/>
      <c r="Y43" s="81"/>
      <c r="Z43" s="81"/>
      <c r="AA43" s="81"/>
      <c r="AB43" s="81"/>
      <c r="AC43" s="81"/>
      <c r="AD43" s="81"/>
      <c r="AE43" s="81"/>
      <c r="AF43" s="81"/>
      <c r="AG43" s="81"/>
      <c r="AH43" s="81"/>
      <c r="AI43" s="81"/>
      <c r="AJ43" s="81"/>
      <c r="AK43" s="81"/>
      <c r="AL43" s="81"/>
    </row>
    <row r="44" spans="2:38">
      <c r="B44" s="60"/>
      <c r="C44" s="60"/>
      <c r="D44" s="60"/>
      <c r="F44" s="60"/>
      <c r="G44" s="60"/>
      <c r="H44" s="60"/>
      <c r="I44" s="60"/>
      <c r="K44" s="60"/>
      <c r="L44" s="60"/>
      <c r="M44" s="60"/>
      <c r="N44" s="60"/>
      <c r="O44" s="77"/>
      <c r="Q44" s="81"/>
      <c r="R44" s="81"/>
      <c r="S44" s="81"/>
      <c r="T44" s="81"/>
      <c r="W44" s="65">
        <f t="shared" si="0"/>
        <v>35</v>
      </c>
      <c r="X44" s="81"/>
      <c r="Y44" s="81"/>
      <c r="Z44" s="81"/>
      <c r="AA44" s="81"/>
      <c r="AB44" s="81"/>
      <c r="AC44" s="81"/>
      <c r="AD44" s="81"/>
      <c r="AE44" s="81"/>
      <c r="AF44" s="81"/>
      <c r="AG44" s="81"/>
      <c r="AH44" s="81"/>
      <c r="AI44" s="81"/>
      <c r="AJ44" s="81"/>
      <c r="AK44" s="81"/>
      <c r="AL44" s="81"/>
    </row>
    <row r="45" spans="2:38">
      <c r="B45" s="60"/>
      <c r="C45" s="60"/>
      <c r="D45" s="60"/>
      <c r="F45" s="60"/>
      <c r="G45" s="60"/>
      <c r="H45" s="60"/>
      <c r="I45" s="60"/>
      <c r="K45" s="60"/>
      <c r="L45" s="60"/>
      <c r="M45" s="60"/>
      <c r="N45" s="60"/>
      <c r="O45" s="77"/>
      <c r="Q45" s="81"/>
      <c r="R45" s="81"/>
      <c r="S45" s="81"/>
      <c r="T45" s="81"/>
      <c r="W45" s="65">
        <f t="shared" si="0"/>
        <v>36</v>
      </c>
      <c r="X45" s="81"/>
      <c r="Y45" s="81"/>
      <c r="Z45" s="81"/>
      <c r="AA45" s="81"/>
      <c r="AB45" s="81"/>
      <c r="AC45" s="81"/>
      <c r="AD45" s="81"/>
      <c r="AE45" s="81"/>
      <c r="AF45" s="81"/>
      <c r="AG45" s="81"/>
      <c r="AH45" s="81"/>
      <c r="AI45" s="81"/>
      <c r="AJ45" s="81"/>
      <c r="AK45" s="81"/>
      <c r="AL45" s="81"/>
    </row>
    <row r="46" spans="2:38">
      <c r="B46" s="60"/>
      <c r="C46" s="60"/>
      <c r="D46" s="60"/>
      <c r="F46" s="60"/>
      <c r="G46" s="60"/>
      <c r="H46" s="60"/>
      <c r="I46" s="60"/>
      <c r="K46" s="60"/>
      <c r="L46" s="60"/>
      <c r="M46" s="60"/>
      <c r="N46" s="60"/>
      <c r="O46" s="77"/>
      <c r="Q46" s="81"/>
      <c r="R46" s="81"/>
      <c r="S46" s="81"/>
      <c r="T46" s="81"/>
      <c r="W46" s="65">
        <f t="shared" si="0"/>
        <v>37</v>
      </c>
      <c r="X46" s="81"/>
      <c r="Y46" s="81"/>
      <c r="Z46" s="81"/>
      <c r="AA46" s="81"/>
      <c r="AB46" s="81"/>
      <c r="AC46" s="81"/>
      <c r="AD46" s="81"/>
      <c r="AE46" s="81"/>
      <c r="AF46" s="81"/>
      <c r="AG46" s="81"/>
      <c r="AH46" s="81"/>
      <c r="AI46" s="81"/>
      <c r="AJ46" s="81"/>
      <c r="AK46" s="81"/>
      <c r="AL46" s="81"/>
    </row>
    <row r="47" spans="2:38">
      <c r="B47" s="60"/>
      <c r="C47" s="60"/>
      <c r="D47" s="60"/>
      <c r="F47" s="60"/>
      <c r="G47" s="60"/>
      <c r="H47" s="60"/>
      <c r="I47" s="60"/>
      <c r="K47" s="60"/>
      <c r="L47" s="60"/>
      <c r="M47" s="60"/>
      <c r="N47" s="60"/>
      <c r="O47" s="77"/>
      <c r="Q47" s="81"/>
      <c r="R47" s="81"/>
      <c r="S47" s="81"/>
      <c r="T47" s="81"/>
      <c r="W47" s="65">
        <f t="shared" si="0"/>
        <v>38</v>
      </c>
      <c r="X47" s="81"/>
      <c r="Y47" s="81"/>
      <c r="Z47" s="81"/>
      <c r="AA47" s="81"/>
      <c r="AB47" s="81"/>
      <c r="AC47" s="81"/>
      <c r="AD47" s="81"/>
      <c r="AE47" s="81"/>
      <c r="AF47" s="81"/>
      <c r="AG47" s="81"/>
      <c r="AH47" s="81"/>
      <c r="AI47" s="81"/>
      <c r="AJ47" s="81"/>
      <c r="AK47" s="81"/>
      <c r="AL47" s="81"/>
    </row>
    <row r="48" spans="2:38">
      <c r="B48" s="60"/>
      <c r="C48" s="60"/>
      <c r="D48" s="60"/>
      <c r="F48" s="60"/>
      <c r="G48" s="60"/>
      <c r="H48" s="60"/>
      <c r="I48" s="60"/>
      <c r="K48" s="60"/>
      <c r="L48" s="60"/>
      <c r="M48" s="60"/>
      <c r="N48" s="60"/>
      <c r="O48" s="77"/>
      <c r="Q48" s="81"/>
      <c r="R48" s="81"/>
      <c r="S48" s="81"/>
      <c r="T48" s="81"/>
      <c r="W48" s="65">
        <f t="shared" si="0"/>
        <v>39</v>
      </c>
      <c r="X48" s="81"/>
      <c r="Y48" s="81"/>
      <c r="Z48" s="81"/>
      <c r="AA48" s="81"/>
      <c r="AB48" s="81"/>
      <c r="AC48" s="81"/>
      <c r="AD48" s="81"/>
      <c r="AE48" s="81"/>
      <c r="AF48" s="81"/>
      <c r="AG48" s="81"/>
      <c r="AH48" s="81"/>
      <c r="AI48" s="81"/>
      <c r="AJ48" s="81"/>
      <c r="AK48" s="81"/>
      <c r="AL48" s="81"/>
    </row>
    <row r="49" spans="2:38">
      <c r="B49" s="60"/>
      <c r="C49" s="60"/>
      <c r="D49" s="60"/>
      <c r="F49" s="60"/>
      <c r="G49" s="60"/>
      <c r="H49" s="60"/>
      <c r="I49" s="60"/>
      <c r="K49" s="60"/>
      <c r="L49" s="60"/>
      <c r="M49" s="60"/>
      <c r="N49" s="60"/>
      <c r="O49" s="77"/>
      <c r="Q49" s="81"/>
      <c r="R49" s="81"/>
      <c r="S49" s="81"/>
      <c r="T49" s="81"/>
      <c r="W49" s="65">
        <f t="shared" si="0"/>
        <v>40</v>
      </c>
      <c r="X49" s="81"/>
      <c r="Y49" s="81"/>
      <c r="Z49" s="81"/>
      <c r="AA49" s="81"/>
      <c r="AB49" s="81"/>
      <c r="AC49" s="81"/>
      <c r="AD49" s="81"/>
      <c r="AE49" s="81"/>
      <c r="AF49" s="81"/>
      <c r="AG49" s="81"/>
      <c r="AH49" s="81"/>
      <c r="AI49" s="81"/>
      <c r="AJ49" s="81"/>
      <c r="AK49" s="81"/>
      <c r="AL49" s="81"/>
    </row>
    <row r="50" spans="2:38">
      <c r="B50" s="60"/>
      <c r="C50" s="60"/>
      <c r="D50" s="60"/>
      <c r="F50" s="60"/>
      <c r="G50" s="60"/>
      <c r="H50" s="60"/>
      <c r="I50" s="60"/>
      <c r="K50" s="60"/>
      <c r="L50" s="60"/>
      <c r="M50" s="60"/>
      <c r="N50" s="60"/>
      <c r="O50" s="77"/>
      <c r="Q50" s="81"/>
      <c r="R50" s="81"/>
      <c r="S50" s="81"/>
      <c r="T50" s="81"/>
      <c r="W50" s="65">
        <f t="shared" si="0"/>
        <v>41</v>
      </c>
      <c r="X50" s="81"/>
      <c r="Y50" s="81"/>
      <c r="Z50" s="81"/>
      <c r="AA50" s="81"/>
      <c r="AB50" s="81"/>
      <c r="AC50" s="81"/>
      <c r="AD50" s="81"/>
      <c r="AE50" s="81"/>
      <c r="AF50" s="81"/>
      <c r="AG50" s="81"/>
      <c r="AH50" s="81"/>
      <c r="AI50" s="81"/>
      <c r="AJ50" s="81"/>
      <c r="AK50" s="81"/>
      <c r="AL50" s="81"/>
    </row>
  </sheetData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75" orientation="landscape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Plan1">
    <pageSetUpPr fitToPage="1"/>
  </sheetPr>
  <dimension ref="C5:C11"/>
  <sheetViews>
    <sheetView workbookViewId="0">
      <selection activeCell="C5" sqref="C5:C15"/>
    </sheetView>
  </sheetViews>
  <sheetFormatPr defaultRowHeight="15"/>
  <cols>
    <col min="3" max="3" width="80.5703125" style="54" customWidth="1"/>
  </cols>
  <sheetData>
    <row r="5" spans="3:3" ht="26.25">
      <c r="C5" s="59" t="s">
        <v>655</v>
      </c>
    </row>
    <row r="6" spans="3:3" ht="25.5" customHeight="1"/>
    <row r="7" spans="3:3" ht="117">
      <c r="C7" s="58" t="s">
        <v>658</v>
      </c>
    </row>
    <row r="8" spans="3:3" ht="32.25">
      <c r="C8" s="55"/>
    </row>
    <row r="9" spans="3:3" ht="26.25">
      <c r="C9" s="56" t="s">
        <v>657</v>
      </c>
    </row>
    <row r="10" spans="3:3" ht="26.25">
      <c r="C10" s="56"/>
    </row>
    <row r="11" spans="3:3" ht="26.25">
      <c r="C11" s="57" t="s">
        <v>92</v>
      </c>
    </row>
  </sheetData>
  <pageMargins left="0.51181102362204722" right="0.51181102362204722" top="0.78740157480314965" bottom="0.78740157480314965" header="0.31496062992125984" footer="0.31496062992125984"/>
  <pageSetup paperSize="9" orientation="landscape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Plan15">
    <tabColor theme="1"/>
    <pageSetUpPr fitToPage="1"/>
  </sheetPr>
  <dimension ref="B1:R61"/>
  <sheetViews>
    <sheetView zoomScale="75" zoomScaleNormal="75" workbookViewId="0">
      <selection activeCell="B30" sqref="B30:O56"/>
    </sheetView>
  </sheetViews>
  <sheetFormatPr defaultRowHeight="15" outlineLevelRow="1"/>
  <cols>
    <col min="2" max="2" width="30.7109375" style="1" customWidth="1"/>
    <col min="3" max="3" width="39.5703125" style="2" hidden="1" customWidth="1"/>
    <col min="4" max="4" width="2.5703125" customWidth="1"/>
    <col min="5" max="9" width="8.42578125" style="1" customWidth="1"/>
    <col min="10" max="10" width="2.5703125" customWidth="1"/>
    <col min="11" max="15" width="8.42578125" style="1" customWidth="1"/>
    <col min="18" max="18" width="0" hidden="1" customWidth="1"/>
  </cols>
  <sheetData>
    <row r="1" spans="2:18" ht="17.25">
      <c r="B1" s="1" t="str">
        <f>'Report#2'!B2</f>
        <v>USD</v>
      </c>
      <c r="C1" s="2" t="s">
        <v>1</v>
      </c>
      <c r="E1" s="3" t="s">
        <v>8</v>
      </c>
      <c r="F1" s="1" t="s">
        <v>3</v>
      </c>
      <c r="K1" s="3" t="s">
        <v>16</v>
      </c>
      <c r="L1" s="1" t="s">
        <v>3</v>
      </c>
    </row>
    <row r="2" spans="2:18" s="4" customFormat="1">
      <c r="C2" s="5"/>
      <c r="E2" s="4">
        <v>10</v>
      </c>
      <c r="F2" s="4">
        <f>E2+1</f>
        <v>11</v>
      </c>
      <c r="G2" s="4">
        <f>F2+1</f>
        <v>12</v>
      </c>
      <c r="H2" s="4">
        <f>G2+1</f>
        <v>13</v>
      </c>
      <c r="I2" s="4">
        <f>H2+1</f>
        <v>14</v>
      </c>
      <c r="K2" s="4">
        <v>10</v>
      </c>
      <c r="L2" s="4">
        <f>K2+1</f>
        <v>11</v>
      </c>
      <c r="M2" s="4">
        <f>L2+1</f>
        <v>12</v>
      </c>
      <c r="N2" s="4">
        <f>M2+1</f>
        <v>13</v>
      </c>
      <c r="O2" s="4">
        <f>N2+1</f>
        <v>14</v>
      </c>
    </row>
    <row r="3" spans="2:18" ht="17.25">
      <c r="E3" s="52" t="str">
        <f>E$1</f>
        <v>FIAT</v>
      </c>
      <c r="F3" s="52"/>
      <c r="G3" s="52"/>
      <c r="H3" s="52"/>
      <c r="I3" s="52"/>
      <c r="J3" s="6"/>
      <c r="K3" s="43" t="str">
        <f>K$1</f>
        <v>TOYOTA</v>
      </c>
      <c r="L3" s="43"/>
      <c r="M3" s="43"/>
      <c r="N3" s="43"/>
      <c r="O3" s="43"/>
    </row>
    <row r="4" spans="2:18" ht="17.25">
      <c r="B4" s="7" t="s">
        <v>5</v>
      </c>
      <c r="C4" s="8" t="s">
        <v>6</v>
      </c>
      <c r="E4" s="9">
        <v>2009</v>
      </c>
      <c r="F4" s="9">
        <f>E4+1</f>
        <v>2010</v>
      </c>
      <c r="G4" s="9">
        <f>F4+1</f>
        <v>2011</v>
      </c>
      <c r="H4" s="9">
        <f>G4+1</f>
        <v>2012</v>
      </c>
      <c r="I4" s="9">
        <f>H4+1</f>
        <v>2013</v>
      </c>
      <c r="J4" s="10"/>
      <c r="K4" s="9">
        <v>2009</v>
      </c>
      <c r="L4" s="9">
        <f>K4+1</f>
        <v>2010</v>
      </c>
      <c r="M4" s="9">
        <f>L4+1</f>
        <v>2011</v>
      </c>
      <c r="N4" s="9">
        <f>M4+1</f>
        <v>2012</v>
      </c>
      <c r="O4" s="9">
        <f>N4+1</f>
        <v>2013</v>
      </c>
    </row>
    <row r="5" spans="2:18" outlineLevel="1">
      <c r="B5" s="11" t="s">
        <v>7</v>
      </c>
      <c r="C5" s="11"/>
      <c r="E5" s="12" t="str">
        <f>IF(DATA!$M$1="LC",VLOOKUP($E$3,TABLE!$D$4:$E$30,2,FALSE),DATA!$M$1)</f>
        <v>USD</v>
      </c>
      <c r="F5" s="12" t="str">
        <f>IF(DATA!$M$1="LC",VLOOKUP($E$3,TABLE!$D$4:$E$30,2,FALSE),DATA!$M$1)</f>
        <v>USD</v>
      </c>
      <c r="G5" s="12" t="str">
        <f>IF(DATA!$M$1="LC",VLOOKUP($E$3,TABLE!$D$4:$E$30,2,FALSE),DATA!$M$1)</f>
        <v>USD</v>
      </c>
      <c r="H5" s="12" t="str">
        <f>IF(DATA!$M$1="LC",VLOOKUP($E$3,TABLE!$D$4:$E$30,2,FALSE),DATA!$M$1)</f>
        <v>USD</v>
      </c>
      <c r="I5" s="12" t="str">
        <f>IF(DATA!$M$1="LC",VLOOKUP($E$3,TABLE!$D$4:$E$30,2,FALSE),DATA!$M$1)</f>
        <v>USD</v>
      </c>
      <c r="K5" s="12" t="str">
        <f>IF(DATA!$M$1="LC",VLOOKUP($E$3,TABLE!$D$4:$E$30,2,FALSE),DATA!$M$1)</f>
        <v>USD</v>
      </c>
      <c r="L5" s="12" t="str">
        <f>IF(DATA!$M$1="LC",VLOOKUP($E$3,TABLE!$D$4:$E$30,2,FALSE),DATA!$M$1)</f>
        <v>USD</v>
      </c>
      <c r="M5" s="12" t="str">
        <f>IF(DATA!$M$1="LC",VLOOKUP($E$3,TABLE!$D$4:$E$30,2,FALSE),DATA!$M$1)</f>
        <v>USD</v>
      </c>
      <c r="N5" s="12" t="str">
        <f>IF(DATA!$M$1="LC",VLOOKUP($E$3,TABLE!$D$4:$E$30,2,FALSE),DATA!$M$1)</f>
        <v>USD</v>
      </c>
      <c r="O5" s="12" t="str">
        <f>IF(DATA!$M$1="LC",VLOOKUP($E$3,TABLE!$D$4:$E$30,2,FALSE),DATA!$M$1)</f>
        <v>USD</v>
      </c>
      <c r="R5" t="s">
        <v>8</v>
      </c>
    </row>
    <row r="6" spans="2:18" outlineLevel="1">
      <c r="B6" s="1" t="s">
        <v>9</v>
      </c>
      <c r="E6" s="13">
        <f>VLOOKUP($E$3&amp;"#"&amp;$B6,DATA!$E:$R,E$2,FALSE)</f>
        <v>18.907215081552952</v>
      </c>
      <c r="F6" s="13">
        <f>VLOOKUP($E$3&amp;"#"&amp;$B6,DATA!$E:$R,F$2,FALSE)</f>
        <v>16.982114992197818</v>
      </c>
      <c r="G6" s="13">
        <f>VLOOKUP($E$3&amp;"#"&amp;$B6,DATA!$E:$R,G$2,FALSE)</f>
        <v>23.773613391619577</v>
      </c>
      <c r="H6" s="13">
        <f>VLOOKUP($E$3&amp;"#"&amp;$B6,DATA!$E:$R,H$2,FALSE)</f>
        <v>24.348952287741618</v>
      </c>
      <c r="I6" s="13">
        <f>VLOOKUP($E$3&amp;"#"&amp;$B6,DATA!$E:$R,I$2,FALSE)</f>
        <v>27.890645009818151</v>
      </c>
      <c r="K6" s="13">
        <f>VLOOKUP($K$3&amp;"#"&amp;$B6,DATA!$E:$R,K$2,FALSE)</f>
        <v>32.190914311968754</v>
      </c>
      <c r="L6" s="13">
        <f>VLOOKUP($K$3&amp;"#"&amp;$B6,DATA!$E:$R,L$2,FALSE)</f>
        <v>49.828952106589853</v>
      </c>
      <c r="M6" s="13">
        <f>VLOOKUP($K$3&amp;"#"&amp;$B6,DATA!$E:$R,M$2,FALSE)</f>
        <v>45.488911397803598</v>
      </c>
      <c r="N6" s="13">
        <f>VLOOKUP($K$3&amp;"#"&amp;$B6,DATA!$E:$R,N$2,FALSE)</f>
        <v>34.126156104722298</v>
      </c>
      <c r="O6" s="13">
        <f>VLOOKUP($K$3&amp;"#"&amp;$B6,DATA!$E:$R,O$2,FALSE)</f>
        <v>31.170110134039099</v>
      </c>
      <c r="R6" t="s">
        <v>10</v>
      </c>
    </row>
    <row r="7" spans="2:18" outlineLevel="1">
      <c r="B7" s="1" t="s">
        <v>11</v>
      </c>
      <c r="E7" s="13">
        <f>VLOOKUP($E$3&amp;"#"&amp;$B7,DATA!$E:$R,E$2,FALSE)</f>
        <v>5.256004192510912</v>
      </c>
      <c r="F7" s="13">
        <f>VLOOKUP($E$3&amp;"#"&amp;$B7,DATA!$E:$R,F$2,FALSE)</f>
        <v>3.0220141639659106</v>
      </c>
      <c r="G7" s="13">
        <f>VLOOKUP($E$3&amp;"#"&amp;$B7,DATA!$E:$R,G$2,FALSE)</f>
        <v>3.4129150229235528</v>
      </c>
      <c r="H7" s="13">
        <f>VLOOKUP($E$3&amp;"#"&amp;$B7,DATA!$E:$R,H$2,FALSE)</f>
        <v>3.5613310496696844</v>
      </c>
      <c r="I7" s="13">
        <f>VLOOKUP($E$3&amp;"#"&amp;$B7,DATA!$E:$R,I$2,FALSE)</f>
        <v>3.3193310851190985</v>
      </c>
      <c r="K7" s="13">
        <f>VLOOKUP($K$3&amp;"#"&amp;$B7,DATA!$E:$R,K$2,FALSE)</f>
        <v>15.015225132092809</v>
      </c>
      <c r="L7" s="13">
        <f>VLOOKUP($K$3&amp;"#"&amp;$B7,DATA!$E:$R,L$2,FALSE)</f>
        <v>23.253510983075262</v>
      </c>
      <c r="M7" s="13">
        <f>VLOOKUP($K$3&amp;"#"&amp;$B7,DATA!$E:$R,M$2,FALSE)</f>
        <v>18.79171553470519</v>
      </c>
      <c r="N7" s="13">
        <f>VLOOKUP($K$3&amp;"#"&amp;$B7,DATA!$E:$R,N$2,FALSE)</f>
        <v>23.215072180083194</v>
      </c>
      <c r="O7" s="13">
        <f>VLOOKUP($K$3&amp;"#"&amp;$B7,DATA!$E:$R,O$2,FALSE)</f>
        <v>18.778323230598478</v>
      </c>
      <c r="R7" t="s">
        <v>12</v>
      </c>
    </row>
    <row r="8" spans="2:18" outlineLevel="1">
      <c r="B8" s="1" t="s">
        <v>13</v>
      </c>
      <c r="E8" s="13">
        <f>VLOOKUP($E$3&amp;"#"&amp;$B8,DATA!$E:$R,E$2,FALSE)</f>
        <v>12.600010050539858</v>
      </c>
      <c r="F8" s="13">
        <f>VLOOKUP($E$3&amp;"#"&amp;$B8,DATA!$E:$R,F$2,FALSE)</f>
        <v>5.9370543752250651</v>
      </c>
      <c r="G8" s="13">
        <f>VLOOKUP($E$3&amp;"#"&amp;$B8,DATA!$E:$R,G$2,FALSE)</f>
        <v>11.834899242989657</v>
      </c>
      <c r="H8" s="13">
        <f>VLOOKUP($E$3&amp;"#"&amp;$B8,DATA!$E:$R,H$2,FALSE)</f>
        <v>12.266806948862246</v>
      </c>
      <c r="I8" s="13">
        <f>VLOOKUP($E$3&amp;"#"&amp;$B8,DATA!$E:$R,I$2,FALSE)</f>
        <v>14.089940664219244</v>
      </c>
      <c r="K8" s="13">
        <f>VLOOKUP($K$3&amp;"#"&amp;$B8,DATA!$E:$R,K$2,FALSE)</f>
        <v>15.771387548816907</v>
      </c>
      <c r="L8" s="13">
        <f>VLOOKUP($K$3&amp;"#"&amp;$B8,DATA!$E:$R,L$2,FALSE)</f>
        <v>17.470891849717923</v>
      </c>
      <c r="M8" s="13">
        <f>VLOOKUP($K$3&amp;"#"&amp;$B8,DATA!$E:$R,M$2,FALSE)</f>
        <v>16.847744962149481</v>
      </c>
      <c r="N8" s="13">
        <f>VLOOKUP($K$3&amp;"#"&amp;$B8,DATA!$E:$R,N$2,FALSE)</f>
        <v>18.804208465867386</v>
      </c>
      <c r="O8" s="13">
        <f>VLOOKUP($K$3&amp;"#"&amp;$B8,DATA!$E:$R,O$2,FALSE)</f>
        <v>16.395287287629127</v>
      </c>
      <c r="R8" t="s">
        <v>14</v>
      </c>
    </row>
    <row r="9" spans="2:18" outlineLevel="1">
      <c r="B9" s="1" t="s">
        <v>15</v>
      </c>
      <c r="E9" s="13">
        <f>VLOOKUP($E$3&amp;"#"&amp;$B9,DATA!$E:$R,E$2,FALSE)</f>
        <v>60.004847863542388</v>
      </c>
      <c r="F9" s="13">
        <f>VLOOKUP($E$3&amp;"#"&amp;$B9,DATA!$E:$R,F$2,FALSE)</f>
        <v>39.821053895090635</v>
      </c>
      <c r="G9" s="13">
        <f>VLOOKUP($E$3&amp;"#"&amp;$B9,DATA!$E:$R,G$2,FALSE)</f>
        <v>47.352573835163668</v>
      </c>
      <c r="H9" s="13">
        <f>VLOOKUP($E$3&amp;"#"&amp;$B9,DATA!$E:$R,H$2,FALSE)</f>
        <v>48.262630780523608</v>
      </c>
      <c r="I9" s="13">
        <f>VLOOKUP($E$3&amp;"#"&amp;$B9,DATA!$E:$R,I$2,FALSE)</f>
        <v>53.92191368564842</v>
      </c>
      <c r="K9" s="13">
        <f>VLOOKUP($K$3&amp;"#"&amp;$B9,DATA!$E:$R,K$2,FALSE)</f>
        <v>122.0662186997473</v>
      </c>
      <c r="L9" s="13">
        <f>VLOOKUP($K$3&amp;"#"&amp;$B9,DATA!$E:$R,L$2,FALSE)</f>
        <v>160.80602568719243</v>
      </c>
      <c r="M9" s="13">
        <f>VLOOKUP($K$3&amp;"#"&amp;$B9,DATA!$E:$R,M$2,FALSE)</f>
        <v>153.31447915556029</v>
      </c>
      <c r="N9" s="13">
        <f>VLOOKUP($K$3&amp;"#"&amp;$B9,DATA!$E:$R,N$2,FALSE)</f>
        <v>143.00484462931249</v>
      </c>
      <c r="O9" s="13">
        <f>VLOOKUP($K$3&amp;"#"&amp;$B9,DATA!$E:$R,O$2,FALSE)</f>
        <v>131.35294117647058</v>
      </c>
      <c r="R9" t="s">
        <v>16</v>
      </c>
    </row>
    <row r="10" spans="2:18" outlineLevel="1">
      <c r="B10" s="1" t="s">
        <v>17</v>
      </c>
      <c r="E10" s="13">
        <f>E11-E9-E8</f>
        <v>24.220819320009184</v>
      </c>
      <c r="F10" s="13">
        <f>F11-F9-F8</f>
        <v>52.443980314488059</v>
      </c>
      <c r="G10" s="13">
        <f>G11-G9-G8</f>
        <v>44.666363151721946</v>
      </c>
      <c r="H10" s="13">
        <f>H11-H9-H8</f>
        <v>47.774596525568874</v>
      </c>
      <c r="I10" s="13">
        <f>I11-I9-I8</f>
        <v>51.497837872449409</v>
      </c>
      <c r="K10" s="13">
        <f>K11-K9-K8</f>
        <v>176.07781989432573</v>
      </c>
      <c r="L10" s="13">
        <f>L11-L9-L8</f>
        <v>195.13263713839879</v>
      </c>
      <c r="M10" s="13">
        <f>M11-M9-M8</f>
        <v>216.29912570636529</v>
      </c>
      <c r="N10" s="13">
        <f>N11-N9-N8</f>
        <v>193.9619280645951</v>
      </c>
      <c r="O10" s="13">
        <f>O11-O9-O8</f>
        <v>190.45223256211048</v>
      </c>
      <c r="R10" t="s">
        <v>2</v>
      </c>
    </row>
    <row r="11" spans="2:18" outlineLevel="1">
      <c r="B11" s="14" t="s">
        <v>18</v>
      </c>
      <c r="C11" s="15"/>
      <c r="E11" s="16">
        <f>VLOOKUP($E$3&amp;"#"&amp;$B11,DATA!$E:$R,E$2,FALSE)</f>
        <v>96.82567723409143</v>
      </c>
      <c r="F11" s="16">
        <f>VLOOKUP($E$3&amp;"#"&amp;$B11,DATA!$E:$R,F$2,FALSE)</f>
        <v>98.202088584803761</v>
      </c>
      <c r="G11" s="16">
        <f>VLOOKUP($E$3&amp;"#"&amp;$B11,DATA!$E:$R,G$2,FALSE)</f>
        <v>103.85383622987527</v>
      </c>
      <c r="H11" s="16">
        <f>VLOOKUP($E$3&amp;"#"&amp;$B11,DATA!$E:$R,H$2,FALSE)</f>
        <v>108.30403425495473</v>
      </c>
      <c r="I11" s="16">
        <f>VLOOKUP($E$3&amp;"#"&amp;$B11,DATA!$E:$R,I$2,FALSE)</f>
        <v>119.50969222231707</v>
      </c>
      <c r="K11" s="16">
        <f>VLOOKUP($K$3&amp;"#"&amp;$B11,DATA!$E:$R,K$2,FALSE)</f>
        <v>313.91542614288994</v>
      </c>
      <c r="L11" s="16">
        <f>VLOOKUP($K$3&amp;"#"&amp;$B11,DATA!$E:$R,L$2,FALSE)</f>
        <v>373.40955467530915</v>
      </c>
      <c r="M11" s="16">
        <f>VLOOKUP($K$3&amp;"#"&amp;$B11,DATA!$E:$R,M$2,FALSE)</f>
        <v>386.46134982407506</v>
      </c>
      <c r="N11" s="16">
        <f>VLOOKUP($K$3&amp;"#"&amp;$B11,DATA!$E:$R,N$2,FALSE)</f>
        <v>355.77098115977498</v>
      </c>
      <c r="O11" s="16">
        <f>VLOOKUP($K$3&amp;"#"&amp;$B11,DATA!$E:$R,O$2,FALSE)</f>
        <v>338.20046102621018</v>
      </c>
      <c r="R11" t="s">
        <v>19</v>
      </c>
    </row>
    <row r="12" spans="2:18" outlineLevel="1">
      <c r="B12" s="1" t="s">
        <v>20</v>
      </c>
      <c r="E12" s="13">
        <f>VLOOKUP($E$3&amp;"#"&amp;$B12,DATA!$E:$R,E$2,FALSE)</f>
        <v>17.712014128187459</v>
      </c>
      <c r="F12" s="13">
        <f>VLOOKUP($E$3&amp;"#"&amp;$B12,DATA!$E:$R,F$2,FALSE)</f>
        <v>12.50258072260233</v>
      </c>
      <c r="G12" s="13">
        <f>VLOOKUP($E$3&amp;"#"&amp;$B12,DATA!$E:$R,G$2,FALSE)</f>
        <v>21.282055656253331</v>
      </c>
      <c r="H12" s="13">
        <f>VLOOKUP($E$3&amp;"#"&amp;$B12,DATA!$E:$R,H$2,FALSE)</f>
        <v>21.842830437974062</v>
      </c>
      <c r="I12" s="13">
        <f>VLOOKUP($E$3&amp;"#"&amp;$B12,DATA!$E:$R,I$2,FALSE)</f>
        <v>23.74492444292666</v>
      </c>
      <c r="K12" s="13">
        <f>VLOOKUP($K$3&amp;"#"&amp;$B12,DATA!$E:$R,K$2,FALSE)</f>
        <v>14.043016310590398</v>
      </c>
      <c r="L12" s="13">
        <f>VLOOKUP($K$3&amp;"#"&amp;$B12,DATA!$E:$R,L$2,FALSE)</f>
        <v>24.114752130596571</v>
      </c>
      <c r="M12" s="13">
        <f>VLOOKUP($K$3&amp;"#"&amp;$B12,DATA!$E:$R,M$2,FALSE)</f>
        <v>19.439705725557094</v>
      </c>
      <c r="N12" s="13">
        <f>VLOOKUP($K$3&amp;"#"&amp;$B12,DATA!$E:$R,N$2,FALSE)</f>
        <v>26.000880841693178</v>
      </c>
      <c r="O12" s="13">
        <f>VLOOKUP($K$3&amp;"#"&amp;$B12,DATA!$E:$R,O$2,FALSE)</f>
        <v>20.112823358661316</v>
      </c>
      <c r="R12" t="s">
        <v>4</v>
      </c>
    </row>
    <row r="13" spans="2:18" outlineLevel="1">
      <c r="B13" s="1" t="s">
        <v>21</v>
      </c>
      <c r="E13" s="13">
        <f>VLOOKUP($E$3&amp;"#"&amp;$B13,DATA!$E:$R,E$2,FALSE)</f>
        <v>42.638434011026874</v>
      </c>
      <c r="F13" s="13">
        <f>VLOOKUP($E$3&amp;"#"&amp;$B13,DATA!$E:$R,F$2,FALSE)</f>
        <v>28.775993278117877</v>
      </c>
      <c r="G13" s="13">
        <f>VLOOKUP($E$3&amp;"#"&amp;$B13,DATA!$E:$R,G$2,FALSE)</f>
        <v>39.800039449834742</v>
      </c>
      <c r="H13" s="13">
        <f>VLOOKUP($E$3&amp;"#"&amp;$B13,DATA!$E:$R,H$2,FALSE)</f>
        <v>40.071569366283335</v>
      </c>
      <c r="I13" s="13">
        <f>VLOOKUP($E$3&amp;"#"&amp;$B13,DATA!$E:$R,I$2,FALSE)</f>
        <v>46.319130453342439</v>
      </c>
      <c r="K13" s="13">
        <f>VLOOKUP($K$3&amp;"#"&amp;$B13,DATA!$E:$R,K$2,FALSE)</f>
        <v>114.39657133011715</v>
      </c>
      <c r="L13" s="13">
        <f>VLOOKUP($K$3&amp;"#"&amp;$B13,DATA!$E:$R,L$2,FALSE)</f>
        <v>131.52382667146802</v>
      </c>
      <c r="M13" s="13">
        <f>VLOOKUP($K$3&amp;"#"&amp;$B13,DATA!$E:$R,M$2,FALSE)</f>
        <v>139.8362831858407</v>
      </c>
      <c r="N13" s="13">
        <f>VLOOKUP($K$3&amp;"#"&amp;$B13,DATA!$E:$R,N$2,FALSE)</f>
        <v>136.73677514069001</v>
      </c>
      <c r="O13" s="13">
        <f>VLOOKUP($K$3&amp;"#"&amp;$B13,DATA!$E:$R,O$2,FALSE)</f>
        <v>123.05997609493724</v>
      </c>
      <c r="R13" t="s">
        <v>22</v>
      </c>
    </row>
    <row r="14" spans="2:18" outlineLevel="1">
      <c r="B14" s="1" t="s">
        <v>23</v>
      </c>
      <c r="E14" s="13">
        <f>E16-E13-E15</f>
        <v>38.17443045026419</v>
      </c>
      <c r="F14" s="13">
        <f>F16-F13-F15</f>
        <v>52.76490217260833</v>
      </c>
      <c r="G14" s="13">
        <f>G16-G13-G15</f>
        <v>48.144162490670659</v>
      </c>
      <c r="H14" s="13">
        <f>H16-H13-H15</f>
        <v>57.192338634695368</v>
      </c>
      <c r="I14" s="13">
        <f>I16-I13-I15</f>
        <v>55.863928967813528</v>
      </c>
      <c r="K14" s="13">
        <f>K16-K13-K15</f>
        <v>85.01426028026647</v>
      </c>
      <c r="L14" s="13">
        <f>L16-L13-L15</f>
        <v>107.4090745408715</v>
      </c>
      <c r="M14" s="13">
        <f>M16-M13-M15</f>
        <v>105.10400895617872</v>
      </c>
      <c r="N14" s="13">
        <f>N16-N13-N15</f>
        <v>90.538781502324468</v>
      </c>
      <c r="O14" s="13">
        <f>O16-O13-O15</f>
        <v>93.415008964398538</v>
      </c>
      <c r="R14" t="s">
        <v>24</v>
      </c>
    </row>
    <row r="15" spans="2:18" outlineLevel="1">
      <c r="B15" s="1" t="s">
        <v>25</v>
      </c>
      <c r="E15" s="13">
        <f>VLOOKUP($E$3&amp;"#"&amp;$B15,DATA!$E:$R,E$2,FALSE)</f>
        <v>16.012812772800366</v>
      </c>
      <c r="F15" s="13">
        <f>VLOOKUP($E$3&amp;"#"&amp;$B15,DATA!$E:$R,F$2,FALSE)</f>
        <v>16.661193134077546</v>
      </c>
      <c r="G15" s="13">
        <f>VLOOKUP($E$3&amp;"#"&amp;$B15,DATA!$E:$R,G$2,FALSE)</f>
        <v>15.909634289369871</v>
      </c>
      <c r="H15" s="13">
        <f>VLOOKUP($E$3&amp;"#"&amp;$B15,DATA!$E:$R,H$2,FALSE)</f>
        <v>11.04012625397602</v>
      </c>
      <c r="I15" s="13">
        <f>VLOOKUP($E$3&amp;"#"&amp;$B15,DATA!$E:$R,I$2,FALSE)</f>
        <v>17.326632801161104</v>
      </c>
      <c r="K15" s="13">
        <f>VLOOKUP($K$3&amp;"#"&amp;$B15,DATA!$E:$R,K$2,FALSE)</f>
        <v>114.50459453250632</v>
      </c>
      <c r="L15" s="13">
        <f>VLOOKUP($K$3&amp;"#"&amp;$B15,DATA!$E:$R,L$2,FALSE)</f>
        <v>134.47665346296964</v>
      </c>
      <c r="M15" s="13">
        <f>VLOOKUP($K$3&amp;"#"&amp;$B15,DATA!$E:$R,M$2,FALSE)</f>
        <v>141.52105768205564</v>
      </c>
      <c r="N15" s="13">
        <f>VLOOKUP($K$3&amp;"#"&amp;$B15,DATA!$E:$R,N$2,FALSE)</f>
        <v>128.49542451676049</v>
      </c>
      <c r="O15" s="13">
        <f>VLOOKUP($K$3&amp;"#"&amp;$B15,DATA!$E:$R,O$2,FALSE)</f>
        <v>121.7254759668744</v>
      </c>
      <c r="R15" t="s">
        <v>26</v>
      </c>
    </row>
    <row r="16" spans="2:18" outlineLevel="1">
      <c r="B16" s="14" t="s">
        <v>27</v>
      </c>
      <c r="C16" s="15"/>
      <c r="E16" s="16">
        <f>E11</f>
        <v>96.82567723409143</v>
      </c>
      <c r="F16" s="16">
        <f>F11</f>
        <v>98.202088584803761</v>
      </c>
      <c r="G16" s="16">
        <f>G11</f>
        <v>103.85383622987527</v>
      </c>
      <c r="H16" s="16">
        <f>H11</f>
        <v>108.30403425495473</v>
      </c>
      <c r="I16" s="16">
        <f>I11</f>
        <v>119.50969222231707</v>
      </c>
      <c r="K16" s="16">
        <f>K11</f>
        <v>313.91542614288994</v>
      </c>
      <c r="L16" s="16">
        <f>L11</f>
        <v>373.40955467530915</v>
      </c>
      <c r="M16" s="16">
        <f>M11</f>
        <v>386.46134982407506</v>
      </c>
      <c r="N16" s="16">
        <f>N11</f>
        <v>355.77098115977498</v>
      </c>
      <c r="O16" s="16">
        <f>O11</f>
        <v>338.20046102621018</v>
      </c>
      <c r="R16" t="s">
        <v>28</v>
      </c>
    </row>
    <row r="17" spans="2:18" outlineLevel="1">
      <c r="E17" s="13"/>
      <c r="F17" s="13"/>
      <c r="G17" s="13"/>
      <c r="H17" s="13"/>
      <c r="I17" s="13"/>
      <c r="K17" s="13"/>
      <c r="L17" s="13"/>
      <c r="M17" s="13"/>
      <c r="N17" s="13"/>
      <c r="O17" s="13"/>
      <c r="R17" t="s">
        <v>29</v>
      </c>
    </row>
    <row r="18" spans="2:18" outlineLevel="1">
      <c r="B18" s="14" t="s">
        <v>30</v>
      </c>
      <c r="C18" s="15"/>
      <c r="E18" s="16">
        <f>VLOOKUP($E$3&amp;"#"&amp;$B18,DATA!$E:$R,E$2,FALSE)</f>
        <v>47.059237537330574</v>
      </c>
      <c r="F18" s="16">
        <f>VLOOKUP($E$3&amp;"#"&amp;$B18,DATA!$E:$R,F$2,FALSE)</f>
        <v>47.977817788980929</v>
      </c>
      <c r="G18" s="16">
        <f>VLOOKUP($E$3&amp;"#"&amp;$B18,DATA!$E:$R,G$2,FALSE)</f>
        <v>77.290197249173701</v>
      </c>
      <c r="H18" s="16">
        <f>VLOOKUP($E$3&amp;"#"&amp;$B18,DATA!$E:$R,H$2,FALSE)</f>
        <v>110.74420552972839</v>
      </c>
      <c r="I18" s="16">
        <f>VLOOKUP($E$3&amp;"#"&amp;$B18,DATA!$E:$R,I$2,FALSE)</f>
        <v>119.57855801246477</v>
      </c>
      <c r="K18" s="16">
        <f>VLOOKUP($K$3&amp;"#"&amp;$B18,DATA!$E:$R,K$2,FALSE)</f>
        <v>221.77163450493913</v>
      </c>
      <c r="L18" s="16">
        <f>VLOOKUP($K$3&amp;"#"&amp;$B18,DATA!$E:$R,L$2,FALSE)</f>
        <v>233.15028207898214</v>
      </c>
      <c r="M18" s="16">
        <f>VLOOKUP($K$3&amp;"#"&amp;$B18,DATA!$E:$R,M$2,FALSE)</f>
        <v>246.10667448555282</v>
      </c>
      <c r="N18" s="16">
        <f>VLOOKUP($K$3&amp;"#"&amp;$B18,DATA!$E:$R,N$2,FALSE)</f>
        <v>215.66802055297288</v>
      </c>
      <c r="O18" s="16">
        <f>VLOOKUP($K$3&amp;"#"&amp;$B18,DATA!$E:$R,O$2,FALSE)</f>
        <v>210.27909160761544</v>
      </c>
      <c r="R18" t="s">
        <v>31</v>
      </c>
    </row>
    <row r="19" spans="2:18" outlineLevel="1">
      <c r="B19" s="1" t="s">
        <v>32</v>
      </c>
      <c r="E19" s="13">
        <f>E18-E20</f>
        <v>40.680032448885825</v>
      </c>
      <c r="F19" s="13">
        <f>F18-F20</f>
        <v>41.077997839395046</v>
      </c>
      <c r="G19" s="13">
        <f>G18-G20</f>
        <v>66.610238831431928</v>
      </c>
      <c r="H19" s="13">
        <f>H18-H20</f>
        <v>95.390911671152423</v>
      </c>
      <c r="I19" s="13">
        <f>I18-I20</f>
        <v>103.93225049090752</v>
      </c>
      <c r="K19" s="13">
        <f>K18-K20</f>
        <v>202.65152768205837</v>
      </c>
      <c r="L19" s="13">
        <f>L18-L20</f>
        <v>202.02256631856923</v>
      </c>
      <c r="M19" s="13">
        <f>M18-M20</f>
        <v>218.37269431709137</v>
      </c>
      <c r="N19" s="13">
        <f>N18-N20</f>
        <v>190.36359187668219</v>
      </c>
      <c r="O19" s="13">
        <f>O18-O20</f>
        <v>176.53530265516946</v>
      </c>
      <c r="R19" t="s">
        <v>33</v>
      </c>
    </row>
    <row r="20" spans="2:18" outlineLevel="1">
      <c r="B20" s="14" t="s">
        <v>34</v>
      </c>
      <c r="C20" s="15"/>
      <c r="E20" s="16">
        <f>VLOOKUP($E$3&amp;"#"&amp;$B20,DATA!$E:$R,E$2,FALSE)</f>
        <v>6.37920508844475</v>
      </c>
      <c r="F20" s="16">
        <f>VLOOKUP($E$3&amp;"#"&amp;$B20,DATA!$E:$R,F$2,FALSE)</f>
        <v>6.8998199495858854</v>
      </c>
      <c r="G20" s="16">
        <f>VLOOKUP($E$3&amp;"#"&amp;$B20,DATA!$E:$R,G$2,FALSE)</f>
        <v>10.679958417741766</v>
      </c>
      <c r="H20" s="16">
        <f>VLOOKUP($E$3&amp;"#"&amp;$B20,DATA!$E:$R,H$2,FALSE)</f>
        <v>15.353293858575972</v>
      </c>
      <c r="I20" s="16">
        <f>VLOOKUP($E$3&amp;"#"&amp;$B20,DATA!$E:$R,I$2,FALSE)</f>
        <v>15.646307521557242</v>
      </c>
      <c r="K20" s="16">
        <f>VLOOKUP($K$3&amp;"#"&amp;$B20,DATA!$E:$R,K$2,FALSE)</f>
        <v>19.120106822880771</v>
      </c>
      <c r="L20" s="16">
        <f>VLOOKUP($K$3&amp;"#"&amp;$B20,DATA!$E:$R,L$2,FALSE)</f>
        <v>31.127715760412919</v>
      </c>
      <c r="M20" s="16">
        <f>VLOOKUP($K$3&amp;"#"&amp;$B20,DATA!$E:$R,M$2,FALSE)</f>
        <v>27.733980168461454</v>
      </c>
      <c r="N20" s="16">
        <f>VLOOKUP($K$3&amp;"#"&amp;$B20,DATA!$E:$R,N$2,FALSE)</f>
        <v>25.304428676290684</v>
      </c>
      <c r="O20" s="16">
        <f>VLOOKUP($K$3&amp;"#"&amp;$B20,DATA!$E:$R,O$2,FALSE)</f>
        <v>33.743788952445996</v>
      </c>
      <c r="R20" t="s">
        <v>35</v>
      </c>
    </row>
    <row r="21" spans="2:18" outlineLevel="1">
      <c r="B21" s="1" t="s">
        <v>36</v>
      </c>
      <c r="E21" s="13">
        <f>VLOOKUP($E$3&amp;"#"&amp;$B21,DATA!$E:$R,E$2,FALSE)</f>
        <v>5.2992042269699056</v>
      </c>
      <c r="F21" s="13">
        <f>VLOOKUP($E$3&amp;"#"&amp;$B21,DATA!$E:$R,F$2,FALSE)</f>
        <v>5.3085824030728617</v>
      </c>
      <c r="G21" s="13">
        <f>VLOOKUP($E$3&amp;"#"&amp;$B21,DATA!$E:$R,G$2,FALSE)</f>
        <v>7.5006269325087969</v>
      </c>
      <c r="H21" s="13">
        <f>VLOOKUP($E$3&amp;"#"&amp;$B21,DATA!$E:$R,H$2,FALSE)</f>
        <v>10.472951309028627</v>
      </c>
      <c r="I21" s="13">
        <f>VLOOKUP($E$3&amp;"#"&amp;$B21,DATA!$E:$R,I$2,FALSE)</f>
        <v>11.032299581661402</v>
      </c>
      <c r="K21" s="13">
        <f>VLOOKUP($K$3&amp;"#"&amp;$B21,DATA!$E:$R,K$2,FALSE)</f>
        <v>27.329870204456697</v>
      </c>
      <c r="L21" s="13">
        <f>VLOOKUP($K$3&amp;"#"&amp;$B21,DATA!$E:$R,L$2,FALSE)</f>
        <v>26.083303324930984</v>
      </c>
      <c r="M21" s="13">
        <f>VLOOKUP($K$3&amp;"#"&amp;$B21,DATA!$E:$R,M$2,FALSE)</f>
        <v>24.753225290542701</v>
      </c>
      <c r="N21" s="13">
        <f>VLOOKUP($K$3&amp;"#"&amp;$B21,DATA!$E:$R,N$2,FALSE)</f>
        <v>21.357866405676539</v>
      </c>
      <c r="O21" s="13">
        <f>VLOOKUP($K$3&amp;"#"&amp;$B21,DATA!$E:$R,O$2,FALSE)</f>
        <v>20.017501920942539</v>
      </c>
      <c r="R21" t="s">
        <v>37</v>
      </c>
    </row>
    <row r="22" spans="2:18" outlineLevel="1">
      <c r="B22" s="1" t="s">
        <v>38</v>
      </c>
      <c r="E22" s="13">
        <f>VLOOKUP($E$3&amp;"#"&amp;$B22,DATA!$E:$R,E$2,FALSE)</f>
        <v>1.4544011601194577</v>
      </c>
      <c r="F22" s="13">
        <f>VLOOKUP($E$3&amp;"#"&amp;$B22,DATA!$E:$R,F$2,FALSE)</f>
        <v>1.3505461529228187</v>
      </c>
      <c r="G22" s="13">
        <f>VLOOKUP($E$3&amp;"#"&amp;$B22,DATA!$E:$R,G$2,FALSE)</f>
        <v>0.95639481821089678</v>
      </c>
      <c r="H22" s="13">
        <f>VLOOKUP($E$3&amp;"#"&amp;$B22,DATA!$E:$R,H$2,FALSE)</f>
        <v>1.543243454856863</v>
      </c>
      <c r="I22" s="13">
        <f>VLOOKUP($E$3&amp;"#"&amp;$B22,DATA!$E:$R,I$2,FALSE)</f>
        <v>1.8180568598992572</v>
      </c>
      <c r="K22" s="13">
        <f>VLOOKUP($K$3&amp;"#"&amp;$B22,DATA!$E:$R,K$2,FALSE)</f>
        <v>9.7661616815988967</v>
      </c>
      <c r="L22" s="13">
        <f>VLOOKUP($K$3&amp;"#"&amp;$B22,DATA!$E:$R,L$2,FALSE)</f>
        <v>8.9243038050654189</v>
      </c>
      <c r="M22" s="13">
        <f>VLOOKUP($K$3&amp;"#"&amp;$B22,DATA!$E:$R,M$2,FALSE)</f>
        <v>9.4650631197355786</v>
      </c>
      <c r="N22" s="13">
        <f>VLOOKUP($K$3&amp;"#"&amp;$B22,DATA!$E:$R,N$2,FALSE)</f>
        <v>9.0516727183753378</v>
      </c>
      <c r="O22" s="13">
        <f>VLOOKUP($K$3&amp;"#"&amp;$B22,DATA!$E:$R,O$2,FALSE)</f>
        <v>7.6967294886024078</v>
      </c>
      <c r="R22" t="s">
        <v>39</v>
      </c>
    </row>
    <row r="23" spans="2:18" outlineLevel="1">
      <c r="B23" s="1" t="s">
        <v>40</v>
      </c>
      <c r="E23" s="13">
        <f>VLOOKUP($E$3&amp;"#"&amp;$B23,DATA!$E:$R,E$2,FALSE)</f>
        <v>3.8448030668504476</v>
      </c>
      <c r="F23" s="13">
        <f>VLOOKUP($E$3&amp;"#"&amp;$B23,DATA!$E:$R,F$2,FALSE)</f>
        <v>3.9580362501500428</v>
      </c>
      <c r="G23" s="13">
        <f>VLOOKUP($E$3&amp;"#"&amp;$B23,DATA!$E:$R,G$2,FALSE)</f>
        <v>6.5533159185414229</v>
      </c>
      <c r="H23" s="13">
        <f>VLOOKUP($E$3&amp;"#"&amp;$B23,DATA!$E:$R,H$2,FALSE)</f>
        <v>8.9165177391729866</v>
      </c>
      <c r="I23" s="13">
        <f>VLOOKUP($E$3&amp;"#"&amp;$B23,DATA!$E:$R,I$2,FALSE)</f>
        <v>9.2142427217621456</v>
      </c>
      <c r="K23" s="13">
        <f>VLOOKUP($K$3&amp;"#"&amp;$B23,DATA!$E:$R,K$2,FALSE)</f>
        <v>17.607781989432574</v>
      </c>
      <c r="L23" s="13">
        <f>VLOOKUP($K$3&amp;"#"&amp;$B23,DATA!$E:$R,L$2,FALSE)</f>
        <v>17.10178850078022</v>
      </c>
      <c r="M23" s="13">
        <f>VLOOKUP($K$3&amp;"#"&amp;$B23,DATA!$E:$R,M$2,FALSE)</f>
        <v>15.292568504104914</v>
      </c>
      <c r="N23" s="13">
        <f>VLOOKUP($K$3&amp;"#"&amp;$B23,DATA!$E:$R,N$2,FALSE)</f>
        <v>12.303988255444093</v>
      </c>
      <c r="O23" s="13">
        <f>VLOOKUP($K$3&amp;"#"&amp;$B23,DATA!$E:$R,O$2,FALSE)</f>
        <v>12.296465465721846</v>
      </c>
      <c r="R23" t="s">
        <v>41</v>
      </c>
    </row>
    <row r="24" spans="2:18" outlineLevel="1">
      <c r="B24" s="1" t="s">
        <v>42</v>
      </c>
      <c r="E24" s="13">
        <f>VLOOKUP($E$3&amp;"#"&amp;$B24,DATA!$E:$R,E$2,FALSE)</f>
        <v>8.0640064323455093E-2</v>
      </c>
      <c r="F24" s="13">
        <f>VLOOKUP($E$3&amp;"#"&amp;$B24,DATA!$E:$R,F$2,FALSE)</f>
        <v>0.17650702196615056</v>
      </c>
      <c r="G24" s="13">
        <f>VLOOKUP($E$3&amp;"#"&amp;$B24,DATA!$E:$R,G$2,FALSE)</f>
        <v>0.28419330419021221</v>
      </c>
      <c r="H24" s="13">
        <f>VLOOKUP($E$3&amp;"#"&amp;$B24,DATA!$E:$R,H$2,FALSE)</f>
        <v>0.35217607046733546</v>
      </c>
      <c r="I24" s="13">
        <f>VLOOKUP($E$3&amp;"#"&amp;$B24,DATA!$E:$R,I$2,FALSE)</f>
        <v>0.28923631862033633</v>
      </c>
      <c r="K24" s="13">
        <f>VLOOKUP($K$3&amp;"#"&amp;$B24,DATA!$E:$R,K$2,FALSE)</f>
        <v>1.4957972834826556</v>
      </c>
      <c r="L24" s="13">
        <f>VLOOKUP($K$3&amp;"#"&amp;$B24,DATA!$E:$R,L$2,FALSE)</f>
        <v>0.96237546513023653</v>
      </c>
      <c r="M24" s="13">
        <f>VLOOKUP($K$3&amp;"#"&amp;$B24,DATA!$E:$R,M$2,FALSE)</f>
        <v>1.1763613924725449</v>
      </c>
      <c r="N24" s="13">
        <f>VLOOKUP($K$3&amp;"#"&amp;$B24,DATA!$E:$R,N$2,FALSE)</f>
        <v>1.1592446293124543</v>
      </c>
      <c r="O24" s="13">
        <f>VLOOKUP($K$3&amp;"#"&amp;$B24,DATA!$E:$R,O$2,FALSE)</f>
        <v>0.94053662597114307</v>
      </c>
      <c r="R24" t="s">
        <v>43</v>
      </c>
    </row>
    <row r="25" spans="2:18" outlineLevel="1">
      <c r="B25" s="1" t="s">
        <v>44</v>
      </c>
      <c r="E25" s="13">
        <f>VLOOKUP($E$3&amp;"#"&amp;$B25,DATA!$E:$R,E$2,FALSE)</f>
        <v>0.88416070526073964</v>
      </c>
      <c r="F25" s="13">
        <f>VLOOKUP($E$3&amp;"#"&amp;$B25,DATA!$E:$R,F$2,FALSE)</f>
        <v>0.8932325051014286</v>
      </c>
      <c r="G25" s="13">
        <f>VLOOKUP($E$3&amp;"#"&amp;$B25,DATA!$E:$R,G$2,FALSE)</f>
        <v>1.3885243629384798</v>
      </c>
      <c r="H25" s="13">
        <f>VLOOKUP($E$3&amp;"#"&amp;$B25,DATA!$E:$R,H$2,FALSE)</f>
        <v>2.8226846097381944</v>
      </c>
      <c r="I25" s="13">
        <f>VLOOKUP($E$3&amp;"#"&amp;$B25,DATA!$E:$R,I$2,FALSE)</f>
        <v>2.9887752924101423</v>
      </c>
      <c r="K25" s="13">
        <f>VLOOKUP($K$3&amp;"#"&amp;$B25,DATA!$E:$R,K$2,FALSE)</f>
        <v>0.50641277280036756</v>
      </c>
      <c r="L25" s="13">
        <f>VLOOKUP($K$3&amp;"#"&amp;$B25,DATA!$E:$R,L$2,FALSE)</f>
        <v>0.41105809626695478</v>
      </c>
      <c r="M25" s="13">
        <f>VLOOKUP($K$3&amp;"#"&amp;$B25,DATA!$E:$R,M$2,FALSE)</f>
        <v>0.37998144791555599</v>
      </c>
      <c r="N25" s="13">
        <f>VLOOKUP($K$3&amp;"#"&amp;$B25,DATA!$E:$R,N$2,FALSE)</f>
        <v>0.26604472718375344</v>
      </c>
      <c r="O25" s="13">
        <f>VLOOKUP($K$3&amp;"#"&amp;$B25,DATA!$E:$R,O$2,FALSE)</f>
        <v>0.21895334244002387</v>
      </c>
      <c r="R25" t="s">
        <v>45</v>
      </c>
    </row>
    <row r="26" spans="2:18" outlineLevel="1">
      <c r="B26" s="1" t="s">
        <v>46</v>
      </c>
      <c r="E26" s="13">
        <f>VLOOKUP($E$3&amp;"#"&amp;$B26,DATA!$E:$R,E$2,FALSE)</f>
        <v>5.4720043648058811E-2</v>
      </c>
      <c r="F26" s="13">
        <f>VLOOKUP($E$3&amp;"#"&amp;$B26,DATA!$E:$R,F$2,FALSE)</f>
        <v>0.78358420357700165</v>
      </c>
      <c r="G26" s="13">
        <f>VLOOKUP($E$3&amp;"#"&amp;$B26,DATA!$E:$R,G$2,FALSE)</f>
        <v>2.6472800938266343</v>
      </c>
      <c r="H26" s="13">
        <f>VLOOKUP($E$3&amp;"#"&amp;$B26,DATA!$E:$R,H$2,FALSE)</f>
        <v>1.8861864448250547</v>
      </c>
      <c r="I26" s="13">
        <f>VLOOKUP($E$3&amp;"#"&amp;$B26,DATA!$E:$R,I$2,FALSE)</f>
        <v>1.2685078545206181</v>
      </c>
      <c r="K26" s="13">
        <f>VLOOKUP($K$3&amp;"#"&amp;$B26,DATA!$E:$R,K$2,FALSE)</f>
        <v>-6.0534042154835745</v>
      </c>
      <c r="L26" s="13">
        <f>VLOOKUP($K$3&amp;"#"&amp;$B26,DATA!$E:$R,L$2,FALSE)</f>
        <v>3.5860851038290731</v>
      </c>
      <c r="M26" s="13">
        <f>VLOOKUP($K$3&amp;"#"&amp;$B26,DATA!$E:$R,M$2,FALSE)</f>
        <v>7.3001278920993702</v>
      </c>
      <c r="N26" s="13">
        <f>VLOOKUP($K$3&amp;"#"&amp;$B26,DATA!$E:$R,N$2,FALSE)</f>
        <v>5.024554147296306</v>
      </c>
      <c r="O26" s="13">
        <f>VLOOKUP($K$3&amp;"#"&amp;$B26,DATA!$E:$R,O$2,FALSE)</f>
        <v>13.345001280628361</v>
      </c>
      <c r="R26" t="s">
        <v>47</v>
      </c>
    </row>
    <row r="27" spans="2:18" outlineLevel="1">
      <c r="B27" s="14" t="s">
        <v>48</v>
      </c>
      <c r="C27" s="15"/>
      <c r="E27" s="16">
        <f>VLOOKUP($E$3&amp;"#"&amp;$B27,DATA!$E:$R,E$2,FALSE)</f>
        <v>-0.4824003847920974</v>
      </c>
      <c r="F27" s="16">
        <f>VLOOKUP($E$3&amp;"#"&amp;$B27,DATA!$E:$R,F$2,FALSE)</f>
        <v>0.18987876605449527</v>
      </c>
      <c r="G27" s="16">
        <f>VLOOKUP($E$3&amp;"#"&amp;$B27,DATA!$E:$R,G$2,FALSE)</f>
        <v>1.7259228062693253</v>
      </c>
      <c r="H27" s="16">
        <f>VLOOKUP($E$3&amp;"#"&amp;$B27,DATA!$E:$R,H$2,FALSE)</f>
        <v>5.8036505994617071E-2</v>
      </c>
      <c r="I27" s="16">
        <f>VLOOKUP($E$3&amp;"#"&amp;$B27,DATA!$E:$R,I$2,FALSE)</f>
        <v>1.2450934858704004</v>
      </c>
      <c r="K27" s="16">
        <f>VLOOKUP($K$3&amp;"#"&amp;$B27,DATA!$E:$R,K$2,FALSE)</f>
        <v>-4.7199658051918219</v>
      </c>
      <c r="L27" s="16">
        <f>VLOOKUP($K$3&amp;"#"&amp;$B27,DATA!$E:$R,L$2,FALSE)</f>
        <v>2.5770795822830395</v>
      </c>
      <c r="M27" s="16">
        <f>VLOOKUP($K$3&amp;"#"&amp;$B27,DATA!$E:$R,M$2,FALSE)</f>
        <v>5.2899327220385963</v>
      </c>
      <c r="N27" s="16">
        <f>VLOOKUP($K$3&amp;"#"&amp;$B27,DATA!$E:$R,N$2,FALSE)</f>
        <v>3.2914329336921955</v>
      </c>
      <c r="O27" s="16">
        <f>VLOOKUP($K$3&amp;"#"&amp;$B27,DATA!$E:$R,O$2,FALSE)</f>
        <v>9.1714474515495592</v>
      </c>
      <c r="R27" t="s">
        <v>49</v>
      </c>
    </row>
    <row r="28" spans="2:18" outlineLevel="1">
      <c r="B28" s="14" t="s">
        <v>50</v>
      </c>
      <c r="C28" s="15"/>
      <c r="E28" s="16">
        <f>VLOOKUP($E$3&amp;"#"&amp;$B28,DATA!$E:$R,E$2,FALSE)</f>
        <v>3.9888031817137608</v>
      </c>
      <c r="F28" s="16">
        <f>VLOOKUP($E$3&amp;"#"&amp;$B28,DATA!$E:$R,F$2,FALSE)</f>
        <v>4.4126755491537635</v>
      </c>
      <c r="G28" s="16">
        <f>VLOOKUP($E$3&amp;"#"&amp;$B28,DATA!$E:$R,G$2,FALSE)</f>
        <v>7.5265806589188617</v>
      </c>
      <c r="H28" s="16">
        <f>VLOOKUP($E$3&amp;"#"&amp;$B28,DATA!$E:$R,H$2,FALSE)</f>
        <v>10.327860044042083</v>
      </c>
      <c r="I28" s="16">
        <f>VLOOKUP($E$3&amp;"#"&amp;$B28,DATA!$E:$R,I$2,FALSE)</f>
        <v>10.908341159395542</v>
      </c>
      <c r="K28" s="16">
        <f>VLOOKUP($K$3&amp;"#"&amp;$B28,DATA!$E:$R,K$2,FALSE)</f>
        <v>7.893255398575695</v>
      </c>
      <c r="L28" s="16">
        <f>VLOOKUP($K$3&amp;"#"&amp;$B28,DATA!$E:$R,L$2,FALSE)</f>
        <v>22.515304285199861</v>
      </c>
      <c r="M28" s="16">
        <f>VLOOKUP($K$3&amp;"#"&amp;$B28,DATA!$E:$R,M$2,FALSE)</f>
        <v>18.273323382023669</v>
      </c>
      <c r="N28" s="16">
        <f>VLOOKUP($K$3&amp;"#"&amp;$B28,DATA!$E:$R,N$2,FALSE)</f>
        <v>16.366625886958651</v>
      </c>
      <c r="O28" s="16">
        <f>VLOOKUP($K$3&amp;"#"&amp;$B28,DATA!$E:$R,O$2,FALSE)</f>
        <v>24.211645180568595</v>
      </c>
    </row>
    <row r="29" spans="2:18" outlineLevel="1">
      <c r="E29" s="13"/>
      <c r="F29" s="13"/>
      <c r="G29" s="13"/>
      <c r="H29" s="13"/>
      <c r="I29" s="13"/>
      <c r="K29" s="13"/>
      <c r="L29" s="13"/>
      <c r="M29" s="13"/>
      <c r="N29" s="13"/>
      <c r="O29" s="13"/>
    </row>
    <row r="30" spans="2:18" ht="17.25" outlineLevel="1">
      <c r="E30" s="52" t="str">
        <f>E$1</f>
        <v>FIAT</v>
      </c>
      <c r="F30" s="52"/>
      <c r="G30" s="52"/>
      <c r="H30" s="52"/>
      <c r="I30" s="52"/>
      <c r="J30" s="6"/>
      <c r="K30" s="43" t="str">
        <f>K$1</f>
        <v>TOYOTA</v>
      </c>
      <c r="L30" s="43"/>
      <c r="M30" s="43"/>
      <c r="N30" s="43"/>
      <c r="O30" s="43"/>
    </row>
    <row r="31" spans="2:18" ht="17.25" outlineLevel="1">
      <c r="B31" s="7" t="s">
        <v>5</v>
      </c>
      <c r="C31" s="17" t="str">
        <f t="shared" ref="C31:I31" si="0">C4</f>
        <v>Formula</v>
      </c>
      <c r="E31" s="18">
        <f t="shared" si="0"/>
        <v>2009</v>
      </c>
      <c r="F31" s="18">
        <f t="shared" si="0"/>
        <v>2010</v>
      </c>
      <c r="G31" s="18">
        <f t="shared" si="0"/>
        <v>2011</v>
      </c>
      <c r="H31" s="18">
        <f t="shared" si="0"/>
        <v>2012</v>
      </c>
      <c r="I31" s="18">
        <f t="shared" si="0"/>
        <v>2013</v>
      </c>
      <c r="J31" s="10"/>
      <c r="K31" s="18">
        <f>K4</f>
        <v>2009</v>
      </c>
      <c r="L31" s="18">
        <f>L4</f>
        <v>2010</v>
      </c>
      <c r="M31" s="18">
        <f>M4</f>
        <v>2011</v>
      </c>
      <c r="N31" s="18">
        <f>N4</f>
        <v>2012</v>
      </c>
      <c r="O31" s="18">
        <f>O4</f>
        <v>2013</v>
      </c>
    </row>
    <row r="32" spans="2:18">
      <c r="B32" s="1" t="s">
        <v>51</v>
      </c>
      <c r="C32" s="2" t="s">
        <v>52</v>
      </c>
      <c r="E32" s="19">
        <f>E9/E13</f>
        <v>1.4072948328267478</v>
      </c>
      <c r="F32" s="19">
        <f>F9/F13</f>
        <v>1.3838289962825281</v>
      </c>
      <c r="G32" s="19">
        <f>G9/G13</f>
        <v>1.1897619823932182</v>
      </c>
      <c r="H32" s="19">
        <f>H9/H13</f>
        <v>1.2044107965766953</v>
      </c>
      <c r="I32" s="19">
        <f>I9/I13</f>
        <v>1.1641391614629795</v>
      </c>
      <c r="K32" s="19">
        <f>K9/K13</f>
        <v>1.0670443814919737</v>
      </c>
      <c r="L32" s="19">
        <f>L9/L13</f>
        <v>1.2226379794200188</v>
      </c>
      <c r="M32" s="19">
        <f>M9/M13</f>
        <v>1.0963855421686748</v>
      </c>
      <c r="N32" s="19">
        <f>N9/N13</f>
        <v>1.0458404074702887</v>
      </c>
      <c r="O32" s="19">
        <f>O9/O13</f>
        <v>1.0673896204492641</v>
      </c>
    </row>
    <row r="33" spans="2:15">
      <c r="B33" s="1" t="s">
        <v>53</v>
      </c>
      <c r="C33" s="2" t="s">
        <v>54</v>
      </c>
      <c r="E33" s="19">
        <f>(E9-E8)/E13</f>
        <v>1.1117865585950695</v>
      </c>
      <c r="F33" s="19">
        <f>(F9-F8)/F13</f>
        <v>1.1775092936802976</v>
      </c>
      <c r="G33" s="19">
        <f>(G9-G8)/G13</f>
        <v>0.89240299967394854</v>
      </c>
      <c r="H33" s="19">
        <f>(H9-H8)/H13</f>
        <v>0.8982883475971033</v>
      </c>
      <c r="I33" s="19">
        <f>(I9-I8)/I13</f>
        <v>0.85994647636039245</v>
      </c>
      <c r="K33" s="19">
        <f>(K9-K8)/K13</f>
        <v>0.92917847025495759</v>
      </c>
      <c r="L33" s="19">
        <f>(L9-L8)/L13</f>
        <v>1.0898035547240412</v>
      </c>
      <c r="M33" s="19">
        <f>(M9-M8)/M13</f>
        <v>0.97590361445783136</v>
      </c>
      <c r="N33" s="19">
        <f>(N9-N8)/N13</f>
        <v>0.90831918505942277</v>
      </c>
      <c r="O33" s="19">
        <f>(O9-O8)/O13</f>
        <v>0.93415956622773044</v>
      </c>
    </row>
    <row r="34" spans="2:15">
      <c r="B34" s="1" t="s">
        <v>55</v>
      </c>
      <c r="C34" s="2" t="s">
        <v>56</v>
      </c>
      <c r="E34" s="19">
        <f>E6/E13</f>
        <v>0.44343127321850728</v>
      </c>
      <c r="F34" s="19">
        <f>F6/F13</f>
        <v>0.5901486988847584</v>
      </c>
      <c r="G34" s="19">
        <f>G6/G13</f>
        <v>0.59732637756765561</v>
      </c>
      <c r="H34" s="19">
        <f>H6/H13</f>
        <v>0.60763660302830813</v>
      </c>
      <c r="I34" s="19">
        <f>I6/I13</f>
        <v>0.60214094558429976</v>
      </c>
      <c r="K34" s="19">
        <f>K6/K13</f>
        <v>0.2813975448536355</v>
      </c>
      <c r="L34" s="19">
        <f>L6/L13</f>
        <v>0.3788587464920487</v>
      </c>
      <c r="M34" s="19">
        <f>M6/M13</f>
        <v>0.3253012048192771</v>
      </c>
      <c r="N34" s="19">
        <f>N6/N13</f>
        <v>0.24957555178268254</v>
      </c>
      <c r="O34" s="19">
        <f>O6/O13</f>
        <v>0.25329202168861348</v>
      </c>
    </row>
    <row r="35" spans="2:15">
      <c r="E35" s="19"/>
      <c r="F35" s="19"/>
      <c r="G35" s="19"/>
      <c r="H35" s="19"/>
      <c r="I35" s="19"/>
      <c r="K35" s="19"/>
      <c r="L35" s="19"/>
      <c r="M35" s="19"/>
      <c r="N35" s="19"/>
      <c r="O35" s="19"/>
    </row>
    <row r="36" spans="2:15">
      <c r="B36" s="1" t="s">
        <v>57</v>
      </c>
      <c r="C36" s="2" t="s">
        <v>58</v>
      </c>
      <c r="E36" s="19">
        <f>E9-E13</f>
        <v>17.366413852515514</v>
      </c>
      <c r="F36" s="19">
        <f>F9-F13</f>
        <v>11.045060616972759</v>
      </c>
      <c r="G36" s="19">
        <f>G9-G13</f>
        <v>7.5525343853289257</v>
      </c>
      <c r="H36" s="19">
        <f>H9-H13</f>
        <v>8.1910614142402736</v>
      </c>
      <c r="I36" s="19">
        <f>I9-I13</f>
        <v>7.6027832323059812</v>
      </c>
      <c r="K36" s="19">
        <f>K9-K13</f>
        <v>7.669647369630141</v>
      </c>
      <c r="L36" s="19">
        <f>L9-L13</f>
        <v>29.282199015724416</v>
      </c>
      <c r="M36" s="19">
        <f>M9-M13</f>
        <v>13.478195969719593</v>
      </c>
      <c r="N36" s="19">
        <f>N9-N13</f>
        <v>6.2680694886224728</v>
      </c>
      <c r="O36" s="19">
        <f>O9-O13</f>
        <v>8.2929650815333389</v>
      </c>
    </row>
    <row r="37" spans="2:15">
      <c r="B37" s="14" t="s">
        <v>59</v>
      </c>
      <c r="C37" s="15" t="s">
        <v>60</v>
      </c>
      <c r="E37" s="20">
        <f>(E11-E15)/E11</f>
        <v>0.83462224866151113</v>
      </c>
      <c r="F37" s="20">
        <f>(F11-F15)/F11</f>
        <v>0.83033769063180818</v>
      </c>
      <c r="G37" s="20">
        <f>(G11-G15)/G11</f>
        <v>0.84680744720729717</v>
      </c>
      <c r="H37" s="20">
        <f>(H11-H15)/H11</f>
        <v>0.89806357325538921</v>
      </c>
      <c r="I37" s="20">
        <f>(I11-I15)/I11</f>
        <v>0.85501901578886719</v>
      </c>
      <c r="K37" s="20">
        <f>(K11-K15)/K11</f>
        <v>0.63523743977976599</v>
      </c>
      <c r="L37" s="20">
        <f>(L11-L15)/L11</f>
        <v>0.63986820428336089</v>
      </c>
      <c r="M37" s="20">
        <f>(M11-M15)/M11</f>
        <v>0.63380281690140849</v>
      </c>
      <c r="N37" s="20">
        <f>(N11-N15)/N11</f>
        <v>0.63882544861337687</v>
      </c>
      <c r="O37" s="20">
        <f>(O11-O15)/O11</f>
        <v>0.64007891770011272</v>
      </c>
    </row>
    <row r="38" spans="2:15">
      <c r="B38" s="14"/>
      <c r="C38" s="15"/>
      <c r="E38" s="20"/>
      <c r="F38" s="20"/>
      <c r="G38" s="20"/>
      <c r="H38" s="20"/>
      <c r="I38" s="20"/>
      <c r="K38" s="20"/>
      <c r="L38" s="20"/>
      <c r="M38" s="20"/>
      <c r="N38" s="20"/>
      <c r="O38" s="20"/>
    </row>
    <row r="39" spans="2:15">
      <c r="B39" s="1" t="s">
        <v>61</v>
      </c>
      <c r="C39" s="2" t="s">
        <v>62</v>
      </c>
      <c r="E39" s="21">
        <f>E20/E18</f>
        <v>0.13555691554467564</v>
      </c>
      <c r="F39" s="21">
        <f>F20/F18</f>
        <v>0.14381270903010032</v>
      </c>
      <c r="G39" s="21">
        <f>G20/G18</f>
        <v>0.13817998656816655</v>
      </c>
      <c r="H39" s="21">
        <f>H20/H18</f>
        <v>0.13863744640304909</v>
      </c>
      <c r="I39" s="21">
        <f>I20/I18</f>
        <v>0.1308454273208938</v>
      </c>
      <c r="K39" s="21">
        <f>K20/K18</f>
        <v>8.621529469069654E-2</v>
      </c>
      <c r="L39" s="21">
        <f>L20/L18</f>
        <v>0.13350923482849603</v>
      </c>
      <c r="M39" s="21">
        <f>M20/M18</f>
        <v>0.11269088994207477</v>
      </c>
      <c r="N39" s="21">
        <f>N20/N18</f>
        <v>0.11733046286329388</v>
      </c>
      <c r="O39" s="21">
        <f>O20/O18</f>
        <v>0.16047144152311876</v>
      </c>
    </row>
    <row r="40" spans="2:15">
      <c r="B40" s="14" t="s">
        <v>63</v>
      </c>
      <c r="C40" s="15" t="s">
        <v>64</v>
      </c>
      <c r="E40" s="20">
        <f>E28/E18</f>
        <v>8.4761321909424731E-2</v>
      </c>
      <c r="F40" s="20">
        <f>F28/F18</f>
        <v>9.1973244147157171E-2</v>
      </c>
      <c r="G40" s="20">
        <f>G28/G18</f>
        <v>9.7380792478173259E-2</v>
      </c>
      <c r="H40" s="20">
        <f>H28/H18</f>
        <v>9.3258694616484047E-2</v>
      </c>
      <c r="I40" s="20">
        <f>I28/I18</f>
        <v>9.1223220456116097E-2</v>
      </c>
      <c r="K40" s="20">
        <f>K28/K18</f>
        <v>3.5591816853385291E-2</v>
      </c>
      <c r="L40" s="20">
        <f>L28/L18</f>
        <v>9.6569920844327181E-2</v>
      </c>
      <c r="M40" s="20">
        <f>M28/M18</f>
        <v>7.4249605055292267E-2</v>
      </c>
      <c r="N40" s="20">
        <f>N28/N18</f>
        <v>7.5888051668460701E-2</v>
      </c>
      <c r="O40" s="20">
        <f>O28/O18</f>
        <v>0.11514052583862194</v>
      </c>
    </row>
    <row r="41" spans="2:15">
      <c r="B41" s="1" t="s">
        <v>65</v>
      </c>
      <c r="C41" s="2" t="s">
        <v>66</v>
      </c>
      <c r="E41" s="21">
        <f>E27/E18</f>
        <v>-1.025091799265606E-2</v>
      </c>
      <c r="F41" s="21">
        <f>F27/F18</f>
        <v>3.9576365663322177E-3</v>
      </c>
      <c r="G41" s="21">
        <f>G27/G18</f>
        <v>2.2330423102753523E-2</v>
      </c>
      <c r="H41" s="21">
        <f>H27/H18</f>
        <v>5.2405907575035738E-4</v>
      </c>
      <c r="I41" s="21">
        <f>I27/I18</f>
        <v>1.0412347385395071E-2</v>
      </c>
      <c r="K41" s="21">
        <f>K27/K18</f>
        <v>-2.1283000487092061E-2</v>
      </c>
      <c r="L41" s="21">
        <f>L27/L18</f>
        <v>1.10532981530343E-2</v>
      </c>
      <c r="M41" s="21">
        <f>M27/M18</f>
        <v>2.1494470774091626E-2</v>
      </c>
      <c r="N41" s="21">
        <f>N27/N18</f>
        <v>1.526157158234661E-2</v>
      </c>
      <c r="O41" s="21">
        <f>O27/O18</f>
        <v>4.361559383499547E-2</v>
      </c>
    </row>
    <row r="42" spans="2:15">
      <c r="B42" s="1" t="s">
        <v>67</v>
      </c>
      <c r="C42" s="2" t="s">
        <v>68</v>
      </c>
      <c r="E42" s="21">
        <f>E27/E11</f>
        <v>-4.9821534800713859E-3</v>
      </c>
      <c r="F42" s="21">
        <f>F27/F11</f>
        <v>1.9335511982570804E-3</v>
      </c>
      <c r="G42" s="21">
        <f>G27/G11</f>
        <v>1.6618767962014242E-2</v>
      </c>
      <c r="H42" s="21">
        <f>H27/H11</f>
        <v>5.3586652052125194E-4</v>
      </c>
      <c r="I42" s="21">
        <f>I27/I11</f>
        <v>1.041834735507664E-2</v>
      </c>
      <c r="K42" s="21">
        <f>K27/K11</f>
        <v>-1.5035788024776326E-2</v>
      </c>
      <c r="L42" s="21">
        <f>L27/L11</f>
        <v>6.9014827018121904E-3</v>
      </c>
      <c r="M42" s="21">
        <f>M27/M11</f>
        <v>1.3688128772635814E-2</v>
      </c>
      <c r="N42" s="21">
        <f>N27/N11</f>
        <v>9.2515497553017946E-3</v>
      </c>
      <c r="O42" s="21">
        <f>O27/O11</f>
        <v>2.7118376550169108E-2</v>
      </c>
    </row>
    <row r="43" spans="2:15">
      <c r="B43" s="14" t="s">
        <v>69</v>
      </c>
      <c r="C43" s="15" t="s">
        <v>70</v>
      </c>
      <c r="E43" s="20">
        <f>E27/E15</f>
        <v>-3.0125899280575543E-2</v>
      </c>
      <c r="F43" s="20">
        <f>F27/F15</f>
        <v>1.1396468699839485E-2</v>
      </c>
      <c r="G43" s="20">
        <f>G27/G15</f>
        <v>0.10848287112561174</v>
      </c>
      <c r="H43" s="20">
        <f>H27/H15</f>
        <v>5.2568697729988055E-3</v>
      </c>
      <c r="I43" s="20">
        <f>I27/I15</f>
        <v>7.1860095389507148E-2</v>
      </c>
      <c r="K43" s="20">
        <f>K27/K15</f>
        <v>-4.1220754716981133E-2</v>
      </c>
      <c r="L43" s="20">
        <f>L27/L15</f>
        <v>1.9163769441903022E-2</v>
      </c>
      <c r="M43" s="20">
        <f>M27/M15</f>
        <v>3.7379120879120882E-2</v>
      </c>
      <c r="N43" s="20">
        <f>N27/N15</f>
        <v>2.5615176151761516E-2</v>
      </c>
      <c r="O43" s="20">
        <f>O27/O15</f>
        <v>7.5345340642129999E-2</v>
      </c>
    </row>
    <row r="44" spans="2:15">
      <c r="B44" s="1" t="s">
        <v>71</v>
      </c>
      <c r="C44" s="2" t="s">
        <v>72</v>
      </c>
      <c r="E44" s="21">
        <f>E25/(E11-E15)</f>
        <v>1.0940841054882394E-2</v>
      </c>
      <c r="F44" s="21">
        <f>F25/(F11-F15)</f>
        <v>1.095441128238767E-2</v>
      </c>
      <c r="G44" s="21">
        <f>G25/(G11-G15)</f>
        <v>1.5788697063597461E-2</v>
      </c>
      <c r="H44" s="21">
        <f>H25/(H11-H15)</f>
        <v>2.9020884187686467E-2</v>
      </c>
      <c r="I44" s="21">
        <f>I25/(I11-I15)</f>
        <v>2.9249224962933008E-2</v>
      </c>
      <c r="K44" s="21">
        <f>K25/(K11-K15)</f>
        <v>2.5395449620801733E-3</v>
      </c>
      <c r="L44" s="21">
        <f>L25/(L11-L15)</f>
        <v>1.7203913491246135E-3</v>
      </c>
      <c r="M44" s="21">
        <f>M25/(M11-M15)</f>
        <v>1.5513227513227511E-3</v>
      </c>
      <c r="N44" s="21">
        <f>N25/(N11-N15)</f>
        <v>1.1705822267620021E-3</v>
      </c>
      <c r="O44" s="21">
        <f>O25/(O11-O15)</f>
        <v>1.0114487010127696E-3</v>
      </c>
    </row>
    <row r="46" spans="2:15">
      <c r="B46" s="1" t="s">
        <v>73</v>
      </c>
      <c r="C46" s="2" t="s">
        <v>74</v>
      </c>
      <c r="E46" s="22">
        <f>E7/E$18*360</f>
        <v>40.208078335373322</v>
      </c>
      <c r="F46" s="22">
        <f>F7/F$18*360</f>
        <v>22.675585284280935</v>
      </c>
      <c r="G46" s="22">
        <f>G7/G$18*360</f>
        <v>15.896574882471455</v>
      </c>
      <c r="H46" s="22">
        <f>H7/H$18*360</f>
        <v>11.576941400666986</v>
      </c>
      <c r="I46" s="22">
        <f>I7/I$18*360</f>
        <v>9.9930891499654475</v>
      </c>
      <c r="K46" s="22">
        <f>K7/K$18*360</f>
        <v>24.374086702386748</v>
      </c>
      <c r="L46" s="22">
        <f>L7/L$18*360</f>
        <v>35.905013192612138</v>
      </c>
      <c r="M46" s="22">
        <f>M7/M$18*360</f>
        <v>27.488151658767773</v>
      </c>
      <c r="N46" s="22">
        <f>N7/N$18*360</f>
        <v>38.751345532831003</v>
      </c>
      <c r="O46" s="22">
        <f>O7/O$18*360</f>
        <v>32.14868540344515</v>
      </c>
    </row>
    <row r="47" spans="2:15">
      <c r="B47" s="1" t="s">
        <v>75</v>
      </c>
      <c r="C47" s="2" t="s">
        <v>76</v>
      </c>
      <c r="E47" s="22">
        <f>E12/E$18*360</f>
        <v>135.49571603427174</v>
      </c>
      <c r="F47" s="22">
        <f>F12/F$18*360</f>
        <v>93.812709030100322</v>
      </c>
      <c r="G47" s="22">
        <f>G12/G$18*360</f>
        <v>99.12693082605773</v>
      </c>
      <c r="H47" s="22">
        <f>H12/H$18*360</f>
        <v>71.005240590757509</v>
      </c>
      <c r="I47" s="22">
        <f>I12/I$18*360</f>
        <v>71.485832757429165</v>
      </c>
      <c r="K47" s="22">
        <f>K12/K$18*360</f>
        <v>22.795908426692645</v>
      </c>
      <c r="L47" s="22">
        <f>L12/L$18*360</f>
        <v>37.234828496042219</v>
      </c>
      <c r="M47" s="22">
        <f>M12/M$18*360</f>
        <v>28.436018957345972</v>
      </c>
      <c r="N47" s="22">
        <f>N12/N$18*360</f>
        <v>43.401506996770721</v>
      </c>
      <c r="O47" s="22">
        <f>O12/O$18*360</f>
        <v>34.433363553943792</v>
      </c>
    </row>
    <row r="48" spans="2:15">
      <c r="B48" s="1" t="s">
        <v>77</v>
      </c>
      <c r="C48" s="2" t="s">
        <v>78</v>
      </c>
      <c r="E48" s="22">
        <f>E8/E$18*360</f>
        <v>96.389228886168908</v>
      </c>
      <c r="F48" s="22">
        <f>F8/F$18*360</f>
        <v>44.548494983277592</v>
      </c>
      <c r="G48" s="22">
        <f>G8/G$18*360</f>
        <v>55.124244459368683</v>
      </c>
      <c r="H48" s="22">
        <f>H8/H$18*360</f>
        <v>39.876131491186285</v>
      </c>
      <c r="I48" s="22">
        <f>I8/I$18*360</f>
        <v>42.418797512093988</v>
      </c>
      <c r="K48" s="22">
        <f>K8/K$18*360</f>
        <v>25.601558694593276</v>
      </c>
      <c r="L48" s="22">
        <f>L8/L$18*360</f>
        <v>26.976253298153033</v>
      </c>
      <c r="M48" s="22">
        <f>M8/M$18*360</f>
        <v>24.644549763033176</v>
      </c>
      <c r="N48" s="22">
        <f>N8/N$18*360</f>
        <v>31.388589881593109</v>
      </c>
      <c r="O48" s="22">
        <f>O8/O$18*360</f>
        <v>28.068902991840432</v>
      </c>
    </row>
    <row r="50" spans="2:15">
      <c r="B50" s="1" t="s">
        <v>79</v>
      </c>
      <c r="C50" s="2" t="s">
        <v>80</v>
      </c>
      <c r="D50" s="23"/>
      <c r="E50" s="21">
        <f>E21/E18</f>
        <v>0.11260709914320685</v>
      </c>
      <c r="F50" s="21">
        <f>F21/F18</f>
        <v>0.11064659977703456</v>
      </c>
      <c r="G50" s="21">
        <f>G21/G18</f>
        <v>9.7044996642041623E-2</v>
      </c>
      <c r="H50" s="21">
        <f>H21/H18</f>
        <v>9.4568842305859949E-2</v>
      </c>
      <c r="I50" s="21">
        <f>I21/I18</f>
        <v>9.2259847961299254E-2</v>
      </c>
      <c r="K50" s="21">
        <f>K21/K18</f>
        <v>0.12323429128105212</v>
      </c>
      <c r="L50" s="21">
        <f>L21/L18</f>
        <v>0.11187335092348286</v>
      </c>
      <c r="M50" s="21">
        <f>M21/M18</f>
        <v>0.10057925223802001</v>
      </c>
      <c r="N50" s="21">
        <f>N21/N18</f>
        <v>9.903121636167922E-2</v>
      </c>
      <c r="O50" s="21">
        <f>O21/O18</f>
        <v>9.5194922937443333E-2</v>
      </c>
    </row>
    <row r="51" spans="2:15">
      <c r="B51" s="1" t="s">
        <v>81</v>
      </c>
      <c r="C51" s="2" t="s">
        <v>82</v>
      </c>
      <c r="D51" s="23"/>
      <c r="E51" s="21">
        <f>E22/E18</f>
        <v>3.0905752753977968E-2</v>
      </c>
      <c r="F51" s="21">
        <f>F22/F18</f>
        <v>2.8149386845039016E-2</v>
      </c>
      <c r="G51" s="21">
        <f>G22/G18</f>
        <v>1.2374076561450637E-2</v>
      </c>
      <c r="H51" s="21">
        <f>H22/H18</f>
        <v>1.3935207241543592E-2</v>
      </c>
      <c r="I51" s="21">
        <f>I22/I18</f>
        <v>1.5203870076019352E-2</v>
      </c>
      <c r="K51" s="21">
        <f>K22/K18</f>
        <v>4.4037018996590349E-2</v>
      </c>
      <c r="L51" s="21">
        <f>L22/L18</f>
        <v>3.8277044854881266E-2</v>
      </c>
      <c r="M51" s="21">
        <f>M22/M18</f>
        <v>3.8459189046866772E-2</v>
      </c>
      <c r="N51" s="21">
        <f>N22/N18</f>
        <v>4.1970398277717973E-2</v>
      </c>
      <c r="O51" s="21">
        <f>O22/O18</f>
        <v>3.6602447869446969E-2</v>
      </c>
    </row>
    <row r="53" spans="2:15">
      <c r="B53" s="1" t="s">
        <v>83</v>
      </c>
      <c r="C53" s="2" t="s">
        <v>84</v>
      </c>
      <c r="F53" s="21">
        <f>F18/E18-1</f>
        <v>1.9519658620088753E-2</v>
      </c>
      <c r="G53" s="21">
        <f>G18/F18-1</f>
        <v>0.61095691323678647</v>
      </c>
      <c r="H53" s="21">
        <f>H18/G18-1</f>
        <v>0.43283636827453353</v>
      </c>
      <c r="I53" s="21">
        <f>I18/H18-1</f>
        <v>7.977259343257348E-2</v>
      </c>
      <c r="L53" s="21">
        <f>L18/K18-1</f>
        <v>5.1307948374207379E-2</v>
      </c>
      <c r="M53" s="21">
        <f>M18/L18-1</f>
        <v>5.5570991769941624E-2</v>
      </c>
      <c r="N53" s="21">
        <f>N18/M18-1</f>
        <v>-0.12368073314633643</v>
      </c>
      <c r="O53" s="21">
        <f>O18/N18-1</f>
        <v>-2.4987148913131474E-2</v>
      </c>
    </row>
    <row r="54" spans="2:15">
      <c r="B54" s="1" t="s">
        <v>85</v>
      </c>
      <c r="C54" s="2" t="s">
        <v>86</v>
      </c>
      <c r="F54" s="21">
        <f>F28/E28-1</f>
        <v>0.10626555087581147</v>
      </c>
      <c r="G54" s="21">
        <f>G28/F28-1</f>
        <v>0.70567279988719411</v>
      </c>
      <c r="H54" s="21">
        <f>H28/G28-1</f>
        <v>0.37218486216629532</v>
      </c>
      <c r="I54" s="21">
        <f>I28/H28-1</f>
        <v>5.6205362280090654E-2</v>
      </c>
      <c r="L54" s="21">
        <f>L28/K28-1</f>
        <v>1.8524738081150462</v>
      </c>
      <c r="M54" s="21">
        <f>M28/L28-1</f>
        <v>-0.18840433375642196</v>
      </c>
      <c r="N54" s="21">
        <f>N28/M28-1</f>
        <v>-0.10434322510489391</v>
      </c>
      <c r="O54" s="21">
        <f>O28/N28-1</f>
        <v>0.47933027539054684</v>
      </c>
    </row>
    <row r="55" spans="2:15">
      <c r="B55" s="1" t="s">
        <v>87</v>
      </c>
      <c r="C55" s="2" t="s">
        <v>88</v>
      </c>
      <c r="F55" s="21">
        <f>F$27/E$27-1</f>
        <v>-1.3936123851483417</v>
      </c>
      <c r="G55" s="21">
        <f>G$27/F$27-1</f>
        <v>8.0896040780778229</v>
      </c>
      <c r="H55" s="21">
        <f>H$27/G$27-1</f>
        <v>-0.96637363746292571</v>
      </c>
      <c r="I55" s="21">
        <f>I$27/H$27-1</f>
        <v>20.453625860693332</v>
      </c>
      <c r="L55" s="21">
        <f>L$27/K$27-1</f>
        <v>-1.5459953924768541</v>
      </c>
      <c r="M55" s="21">
        <f>M$27/L$27-1</f>
        <v>1.0526850464401396</v>
      </c>
      <c r="N55" s="21">
        <f>N$27/M$27-1</f>
        <v>-0.37779304451649687</v>
      </c>
      <c r="O55" s="21">
        <f>O$27/N$27-1</f>
        <v>1.7864603764723843</v>
      </c>
    </row>
    <row r="56" spans="2:15">
      <c r="B56" s="1" t="s">
        <v>89</v>
      </c>
      <c r="C56" s="2" t="str">
        <f>B55&amp;" / "&amp;B53</f>
        <v>Net Income Growth (%) / Sales Growth (%)</v>
      </c>
      <c r="F56" s="24">
        <f>F55/F53</f>
        <v>-71.395325721224381</v>
      </c>
      <c r="G56" s="24">
        <f>G55/G53</f>
        <v>13.240874933749318</v>
      </c>
      <c r="H56" s="24">
        <f>H55/H53</f>
        <v>-2.2326535113380017</v>
      </c>
      <c r="I56" s="24">
        <f>I55/I53</f>
        <v>256.39915891641954</v>
      </c>
      <c r="L56" s="24">
        <f>L55/L53</f>
        <v>-30.131693849875891</v>
      </c>
      <c r="M56" s="24">
        <f>M55/M53</f>
        <v>18.943067469411936</v>
      </c>
      <c r="N56" s="24">
        <f>N55/N53</f>
        <v>3.0545828352222015</v>
      </c>
      <c r="O56" s="24">
        <f>O55/O53</f>
        <v>-71.495166682804197</v>
      </c>
    </row>
    <row r="59" spans="2:15">
      <c r="B59" s="25" t="s">
        <v>90</v>
      </c>
    </row>
    <row r="60" spans="2:15">
      <c r="B60" s="25" t="s">
        <v>91</v>
      </c>
    </row>
    <row r="61" spans="2:15">
      <c r="B61" s="1" t="s">
        <v>92</v>
      </c>
    </row>
  </sheetData>
  <dataValidations count="1">
    <dataValidation type="list" allowBlank="1" showInputMessage="1" showErrorMessage="1" sqref="E1 K1">
      <formula1>$R$5:$R$27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54" orientation="landscape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Plan3">
    <tabColor theme="1"/>
  </sheetPr>
  <dimension ref="B5:G9"/>
  <sheetViews>
    <sheetView workbookViewId="0"/>
  </sheetViews>
  <sheetFormatPr defaultRowHeight="15"/>
  <cols>
    <col min="2" max="2" width="23" bestFit="1" customWidth="1"/>
    <col min="3" max="4" width="7.5703125" customWidth="1"/>
  </cols>
  <sheetData>
    <row r="5" spans="2:7">
      <c r="B5" t="s">
        <v>93</v>
      </c>
      <c r="C5">
        <v>2009</v>
      </c>
      <c r="D5">
        <v>2010</v>
      </c>
      <c r="E5">
        <v>2011</v>
      </c>
      <c r="F5">
        <v>2012</v>
      </c>
      <c r="G5">
        <v>2013</v>
      </c>
    </row>
    <row r="6" spans="2:7">
      <c r="B6" t="str">
        <f>'Report#1'!E1 &amp;" (Sales)"</f>
        <v>FIAT (Sales)</v>
      </c>
      <c r="C6" s="73">
        <f>'Report#1'!E18</f>
        <v>47.059237537330574</v>
      </c>
      <c r="D6" s="73">
        <f>'Report#1'!F18</f>
        <v>47.977817788980929</v>
      </c>
      <c r="E6" s="73">
        <f>'Report#1'!G18</f>
        <v>77.290197249173701</v>
      </c>
      <c r="F6" s="73">
        <f>'Report#1'!H18</f>
        <v>110.74420552972839</v>
      </c>
      <c r="G6" s="73">
        <f>'Report#1'!I18</f>
        <v>119.57855801246477</v>
      </c>
    </row>
    <row r="7" spans="2:7">
      <c r="B7" t="str">
        <f>'Report#1'!K1&amp;" (Sales)"</f>
        <v>TOYOTA (Sales)</v>
      </c>
      <c r="C7" s="73">
        <f>'Report#1'!K18</f>
        <v>221.77163450493913</v>
      </c>
      <c r="D7" s="73">
        <f>'Report#1'!L18</f>
        <v>233.15028207898214</v>
      </c>
      <c r="E7" s="73">
        <f>'Report#1'!M18</f>
        <v>246.10667448555282</v>
      </c>
      <c r="F7" s="73">
        <f>'Report#1'!N18</f>
        <v>215.66802055297288</v>
      </c>
      <c r="G7" s="73">
        <f>'Report#1'!O18</f>
        <v>210.27909160761544</v>
      </c>
    </row>
    <row r="8" spans="2:7">
      <c r="B8" t="str">
        <f>'Report#1'!E1 &amp; " (EBITDA%)"</f>
        <v>FIAT (EBITDA%)</v>
      </c>
      <c r="C8" s="20">
        <f>'Report#1'!E40</f>
        <v>8.4761321909424731E-2</v>
      </c>
      <c r="D8" s="20">
        <f>'Report#1'!F40</f>
        <v>9.1973244147157171E-2</v>
      </c>
      <c r="E8" s="20">
        <f>'Report#1'!G40</f>
        <v>9.7380792478173259E-2</v>
      </c>
      <c r="F8" s="20">
        <f>'Report#1'!H40</f>
        <v>9.3258694616484047E-2</v>
      </c>
      <c r="G8" s="20">
        <f>'Report#1'!I40</f>
        <v>9.1223220456116097E-2</v>
      </c>
    </row>
    <row r="9" spans="2:7">
      <c r="B9" t="str">
        <f>'Report#1'!K1&amp; " (EBITDA%)"</f>
        <v>TOYOTA (EBITDA%)</v>
      </c>
      <c r="C9" s="20">
        <f>'Report#1'!K40</f>
        <v>3.5591816853385291E-2</v>
      </c>
      <c r="D9" s="20">
        <f>'Report#1'!L40</f>
        <v>9.6569920844327181E-2</v>
      </c>
      <c r="E9" s="20">
        <f>'Report#1'!M40</f>
        <v>7.4249605055292267E-2</v>
      </c>
      <c r="F9" s="20">
        <f>'Report#1'!N40</f>
        <v>7.5888051668460701E-2</v>
      </c>
      <c r="G9" s="20">
        <f>'Report#1'!O40</f>
        <v>0.11514052583862194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Plan18">
    <tabColor theme="1"/>
    <pageSetUpPr fitToPage="1"/>
  </sheetPr>
  <dimension ref="B1:AH54"/>
  <sheetViews>
    <sheetView zoomScale="80" zoomScaleNormal="80" workbookViewId="0"/>
  </sheetViews>
  <sheetFormatPr defaultRowHeight="15" outlineLevelRow="1" outlineLevelCol="1"/>
  <cols>
    <col min="2" max="2" width="33.85546875" style="1" customWidth="1"/>
    <col min="3" max="3" width="34.5703125" style="2" bestFit="1" customWidth="1"/>
    <col min="4" max="4" width="1.28515625" style="23" customWidth="1"/>
    <col min="5" max="5" width="8.140625" style="1" customWidth="1" outlineLevel="1"/>
    <col min="6" max="6" width="9.85546875" style="1" bestFit="1" customWidth="1" outlineLevel="1"/>
    <col min="7" max="8" width="8.140625" style="1" customWidth="1" outlineLevel="1"/>
    <col min="9" max="9" width="8.5703125" style="1" customWidth="1" outlineLevel="1"/>
    <col min="10" max="10" width="1.28515625" style="23" customWidth="1"/>
    <col min="11" max="13" width="8.140625" style="1" bestFit="1" customWidth="1" outlineLevel="1"/>
    <col min="14" max="14" width="1.28515625" style="23" customWidth="1"/>
    <col min="15" max="15" width="8.28515625" style="1" customWidth="1" outlineLevel="1"/>
    <col min="16" max="16" width="7.7109375" style="1" customWidth="1" outlineLevel="1"/>
    <col min="17" max="17" width="7.140625" style="1" customWidth="1" outlineLevel="1"/>
    <col min="18" max="18" width="1.28515625" style="23" customWidth="1"/>
    <col min="19" max="22" width="8.140625" style="1" customWidth="1" outlineLevel="1"/>
    <col min="23" max="23" width="1.28515625" style="23" customWidth="1"/>
    <col min="24" max="24" width="8.140625" style="1" customWidth="1" outlineLevel="1"/>
    <col min="25" max="26" width="7.140625" style="1" customWidth="1" outlineLevel="1"/>
    <col min="27" max="27" width="9.140625" style="1" customWidth="1" outlineLevel="1"/>
    <col min="28" max="29" width="9.42578125" style="1" customWidth="1" outlineLevel="1"/>
    <col min="30" max="30" width="7.42578125" style="1" customWidth="1" outlineLevel="1"/>
    <col min="31" max="31" width="3.42578125" customWidth="1"/>
    <col min="33" max="33" width="0" hidden="1" customWidth="1"/>
    <col min="34" max="34" width="3" hidden="1" customWidth="1"/>
  </cols>
  <sheetData>
    <row r="1" spans="2:34">
      <c r="B1" s="26">
        <v>2013</v>
      </c>
      <c r="C1" s="2" t="s">
        <v>109</v>
      </c>
    </row>
    <row r="2" spans="2:34">
      <c r="B2" s="27" t="s">
        <v>0</v>
      </c>
      <c r="C2" s="2" t="s">
        <v>111</v>
      </c>
      <c r="E2" s="4">
        <f>VLOOKUP($B$4,$AG$4:$AH$9,2,FALSE)</f>
        <v>14</v>
      </c>
      <c r="F2" s="4">
        <f>VLOOKUP($B$4,$AG$4:$AH$9,2,FALSE)</f>
        <v>14</v>
      </c>
      <c r="G2" s="4">
        <f>VLOOKUP($B$4,$AG$4:$AH$9,2,FALSE)</f>
        <v>14</v>
      </c>
      <c r="H2" s="4">
        <f>VLOOKUP($B$4,$AG$4:$AH$9,2,FALSE)</f>
        <v>14</v>
      </c>
      <c r="I2" s="4">
        <f>VLOOKUP($B$4,$AG$4:$AH$9,2,FALSE)</f>
        <v>14</v>
      </c>
      <c r="J2" s="28"/>
      <c r="K2" s="4">
        <f>VLOOKUP($B$4,$AG$4:$AH$9,2,FALSE)</f>
        <v>14</v>
      </c>
      <c r="L2" s="4">
        <f>VLOOKUP($B$4,$AG$4:$AH$9,2,FALSE)</f>
        <v>14</v>
      </c>
      <c r="M2" s="4">
        <f>VLOOKUP($B$4,$AG$4:$AH$9,2,FALSE)</f>
        <v>14</v>
      </c>
      <c r="N2" s="28"/>
      <c r="O2" s="4">
        <f>VLOOKUP($B$4,$AG$4:$AH$9,2,FALSE)</f>
        <v>14</v>
      </c>
      <c r="P2" s="4">
        <f>VLOOKUP($B$4,$AG$4:$AH$9,2,FALSE)</f>
        <v>14</v>
      </c>
      <c r="Q2" s="4">
        <f>VLOOKUP($B$4,$AG$4:$AH$9,2,FALSE)</f>
        <v>14</v>
      </c>
      <c r="R2" s="28"/>
      <c r="S2" s="4">
        <f>VLOOKUP($B$4,$AG$4:$AH$9,2,FALSE)</f>
        <v>14</v>
      </c>
      <c r="T2" s="4">
        <f>VLOOKUP($B$4,$AG$4:$AH$9,2,FALSE)</f>
        <v>14</v>
      </c>
      <c r="U2" s="4">
        <f>VLOOKUP($B$4,$AG$4:$AH$9,2,FALSE)</f>
        <v>14</v>
      </c>
      <c r="V2" s="4">
        <f>VLOOKUP($B$4,$AG$4:$AH$9,2,FALSE)</f>
        <v>14</v>
      </c>
      <c r="W2" s="28"/>
      <c r="X2" s="4">
        <f t="shared" ref="X2:AD2" si="0">VLOOKUP($B$4,$AG$4:$AH$9,2,FALSE)</f>
        <v>14</v>
      </c>
      <c r="Y2" s="4">
        <f t="shared" si="0"/>
        <v>14</v>
      </c>
      <c r="Z2" s="4">
        <f t="shared" si="0"/>
        <v>14</v>
      </c>
      <c r="AA2" s="4">
        <f t="shared" si="0"/>
        <v>14</v>
      </c>
      <c r="AB2" s="4">
        <f t="shared" si="0"/>
        <v>14</v>
      </c>
      <c r="AC2" s="4">
        <f t="shared" si="0"/>
        <v>14</v>
      </c>
      <c r="AD2" s="4">
        <f t="shared" si="0"/>
        <v>14</v>
      </c>
    </row>
    <row r="3" spans="2:34">
      <c r="E3" s="29" t="s">
        <v>112</v>
      </c>
      <c r="F3" s="30"/>
      <c r="G3" s="30"/>
      <c r="H3" s="30"/>
      <c r="I3" s="31"/>
      <c r="K3" s="29" t="s">
        <v>113</v>
      </c>
      <c r="L3" s="30"/>
      <c r="M3" s="31"/>
      <c r="O3" s="29" t="s">
        <v>114</v>
      </c>
      <c r="P3" s="30"/>
      <c r="Q3" s="31"/>
      <c r="S3" s="29" t="s">
        <v>115</v>
      </c>
      <c r="T3" s="30"/>
      <c r="U3" s="30"/>
      <c r="V3" s="31"/>
      <c r="X3" s="29" t="s">
        <v>116</v>
      </c>
      <c r="Y3" s="32"/>
      <c r="Z3" s="32"/>
      <c r="AA3" s="32"/>
      <c r="AB3" s="32"/>
      <c r="AC3" s="32"/>
      <c r="AD3" s="33"/>
    </row>
    <row r="4" spans="2:34" ht="16.5" customHeight="1">
      <c r="B4" s="8">
        <f>B1</f>
        <v>2013</v>
      </c>
      <c r="C4" s="8" t="s">
        <v>6</v>
      </c>
      <c r="D4" s="12"/>
      <c r="E4" s="9" t="s">
        <v>8</v>
      </c>
      <c r="F4" s="9" t="s">
        <v>10</v>
      </c>
      <c r="G4" s="9" t="s">
        <v>12</v>
      </c>
      <c r="H4" s="9" t="s">
        <v>14</v>
      </c>
      <c r="I4" s="9" t="s">
        <v>16</v>
      </c>
      <c r="J4" s="12"/>
      <c r="K4" s="9" t="s">
        <v>2</v>
      </c>
      <c r="L4" s="9" t="s">
        <v>19</v>
      </c>
      <c r="M4" s="9" t="s">
        <v>4</v>
      </c>
      <c r="N4" s="12"/>
      <c r="O4" s="9" t="s">
        <v>43</v>
      </c>
      <c r="P4" s="9" t="s">
        <v>47</v>
      </c>
      <c r="Q4" s="9" t="s">
        <v>45</v>
      </c>
      <c r="R4" s="12"/>
      <c r="S4" s="9" t="s">
        <v>22</v>
      </c>
      <c r="T4" s="9" t="s">
        <v>24</v>
      </c>
      <c r="U4" s="9" t="s">
        <v>26</v>
      </c>
      <c r="V4" s="9" t="s">
        <v>28</v>
      </c>
      <c r="W4" s="12"/>
      <c r="X4" s="34" t="s">
        <v>29</v>
      </c>
      <c r="Y4" s="34" t="s">
        <v>31</v>
      </c>
      <c r="Z4" s="34" t="s">
        <v>33</v>
      </c>
      <c r="AA4" s="34" t="s">
        <v>35</v>
      </c>
      <c r="AB4" s="34" t="s">
        <v>37</v>
      </c>
      <c r="AC4" s="34" t="s">
        <v>39</v>
      </c>
      <c r="AD4" s="34" t="s">
        <v>41</v>
      </c>
      <c r="AG4">
        <v>2009</v>
      </c>
      <c r="AH4">
        <v>10</v>
      </c>
    </row>
    <row r="5" spans="2:34" s="35" customFormat="1" outlineLevel="1">
      <c r="B5" s="11" t="s">
        <v>7</v>
      </c>
      <c r="C5" s="11"/>
      <c r="D5" s="12"/>
      <c r="E5" s="12" t="str">
        <f>IF(DATA!$M$1="LC",VLOOKUP(E$4,TABLE!$D$4:$E$30,2,FALSE),DATA!$M$1)</f>
        <v>USD</v>
      </c>
      <c r="F5" s="12" t="str">
        <f>IF(DATA!$M$1="LC",VLOOKUP(F$4,TABLE!$D$4:$E$30,2,FALSE),DATA!$M$1)</f>
        <v>USD</v>
      </c>
      <c r="G5" s="12" t="str">
        <f>IF(DATA!$M$1="LC",VLOOKUP(G$4,TABLE!$D$4:$E$30,2,FALSE),DATA!$M$1)</f>
        <v>USD</v>
      </c>
      <c r="H5" s="12" t="str">
        <f>IF(DATA!$M$1="LC",VLOOKUP(H$4,TABLE!$D$4:$E$30,2,FALSE),DATA!$M$1)</f>
        <v>USD</v>
      </c>
      <c r="I5" s="12" t="str">
        <f>IF(DATA!$M$1="LC",VLOOKUP(I$4,TABLE!$D$4:$E$30,2,FALSE),DATA!$M$1)</f>
        <v>USD</v>
      </c>
      <c r="J5" s="12"/>
      <c r="K5" s="12" t="str">
        <f>IF(DATA!$M$1="LC",VLOOKUP(K$4,TABLE!$D$4:$E$30,2,FALSE),DATA!$M$1)</f>
        <v>USD</v>
      </c>
      <c r="L5" s="12" t="str">
        <f>IF(DATA!$M$1="LC",VLOOKUP(L$4,TABLE!$D$4:$E$30,2,FALSE),DATA!$M$1)</f>
        <v>USD</v>
      </c>
      <c r="M5" s="12" t="str">
        <f>IF(DATA!$M$1="LC",VLOOKUP(M$4,TABLE!$D$4:$E$30,2,FALSE),DATA!$M$1)</f>
        <v>USD</v>
      </c>
      <c r="N5" s="12"/>
      <c r="O5" s="12" t="str">
        <f>IF(DATA!$M$1="LC",VLOOKUP(O$4,TABLE!$D$4:$E$30,2,FALSE),DATA!$M$1)</f>
        <v>USD</v>
      </c>
      <c r="P5" s="12" t="str">
        <f>IF(DATA!$M$1="LC",VLOOKUP(P$4,TABLE!$D$4:$E$30,2,FALSE),DATA!$M$1)</f>
        <v>USD</v>
      </c>
      <c r="Q5" s="12" t="str">
        <f>IF(DATA!$M$1="LC",VLOOKUP(Q$4,TABLE!$D$4:$E$30,2,FALSE),DATA!$M$1)</f>
        <v>USD</v>
      </c>
      <c r="R5" s="12"/>
      <c r="S5" s="12" t="str">
        <f>IF(DATA!$M$1="LC",VLOOKUP(S$4,TABLE!$D$4:$E$30,2,FALSE),DATA!$M$1)</f>
        <v>USD</v>
      </c>
      <c r="T5" s="12" t="str">
        <f>IF(DATA!$M$1="LC",VLOOKUP(T$4,TABLE!$D$4:$E$30,2,FALSE),DATA!$M$1)</f>
        <v>USD</v>
      </c>
      <c r="U5" s="12" t="str">
        <f>IF(DATA!$M$1="LC",VLOOKUP(U$4,TABLE!$D$4:$E$30,2,FALSE),DATA!$M$1)</f>
        <v>USD</v>
      </c>
      <c r="V5" s="12" t="str">
        <f>IF(DATA!$M$1="LC",VLOOKUP(V$4,TABLE!$D$4:$E$30,2,FALSE),DATA!$M$1)</f>
        <v>USD</v>
      </c>
      <c r="W5" s="12"/>
      <c r="X5" s="12" t="str">
        <f>IF(DATA!$M$1="LC",VLOOKUP(X$4,TABLE!$D$4:$E$30,2,FALSE),DATA!$M$1)</f>
        <v>USD</v>
      </c>
      <c r="Y5" s="12" t="str">
        <f>IF(DATA!$M$1="LC",VLOOKUP(Y$4,TABLE!$D$4:$E$30,2,FALSE),DATA!$M$1)</f>
        <v>USD</v>
      </c>
      <c r="Z5" s="12" t="str">
        <f>IF(DATA!$M$1="LC",VLOOKUP(Z$4,TABLE!$D$4:$E$30,2,FALSE),DATA!$M$1)</f>
        <v>USD</v>
      </c>
      <c r="AA5" s="12" t="str">
        <f>IF(DATA!$M$1="LC",VLOOKUP(AA$4,TABLE!$D$4:$E$30,2,FALSE),DATA!$M$1)</f>
        <v>USD</v>
      </c>
      <c r="AB5" s="12" t="str">
        <f>IF(DATA!$M$1="LC",VLOOKUP(AB$4,TABLE!$D$4:$E$30,2,FALSE),DATA!$M$1)</f>
        <v>USD</v>
      </c>
      <c r="AC5" s="12" t="str">
        <f>IF(DATA!$M$1="LC",VLOOKUP(AC$4,TABLE!$D$4:$E$30,2,FALSE),DATA!$M$1)</f>
        <v>USD</v>
      </c>
      <c r="AD5" s="12" t="str">
        <f>IF(DATA!$M$1="LC",VLOOKUP(AD$4,TABLE!$D$4:$E$30,2,FALSE),DATA!$M$1)</f>
        <v>USD</v>
      </c>
      <c r="AG5">
        <f>AG4+1</f>
        <v>2010</v>
      </c>
      <c r="AH5">
        <f>AH4+1</f>
        <v>11</v>
      </c>
    </row>
    <row r="6" spans="2:34" outlineLevel="1">
      <c r="B6" s="1" t="s">
        <v>9</v>
      </c>
      <c r="D6" s="36"/>
      <c r="E6" s="13">
        <f>VLOOKUP(E$4&amp;"#"&amp;$B6,DATA!$E:$R,E$2,FALSE)</f>
        <v>27.890645009818151</v>
      </c>
      <c r="F6" s="13">
        <f>VLOOKUP(F$4&amp;"#"&amp;$B6,DATA!$E:$R,F$2,FALSE)</f>
        <v>48.936030478955004</v>
      </c>
      <c r="G6" s="13">
        <f>VLOOKUP(G$4&amp;"#"&amp;$B6,DATA!$E:$R,G$2,FALSE)</f>
        <v>36.57</v>
      </c>
      <c r="H6" s="13">
        <f>VLOOKUP(H$4&amp;"#"&amp;$B6,DATA!$E:$R,H$2,FALSE)</f>
        <v>30.24</v>
      </c>
      <c r="I6" s="13">
        <f>VLOOKUP(I$4&amp;"#"&amp;$B6,DATA!$E:$R,I$2,FALSE)</f>
        <v>31.170110134039099</v>
      </c>
      <c r="J6" s="36"/>
      <c r="K6" s="13">
        <f>VLOOKUP(K$4&amp;"#"&amp;$B6,DATA!$E:$R,K$2,FALSE)</f>
        <v>6.74</v>
      </c>
      <c r="L6" s="13">
        <f>VLOOKUP(L$4&amp;"#"&amp;$B6,DATA!$E:$R,L$2,FALSE)</f>
        <v>6.13</v>
      </c>
      <c r="M6" s="13">
        <f>VLOOKUP(M$4&amp;"#"&amp;$B6,DATA!$E:$R,M$2,FALSE)</f>
        <v>5.13</v>
      </c>
      <c r="N6" s="36"/>
      <c r="O6" s="13">
        <f>VLOOKUP(O$4&amp;"#"&amp;$B6,DATA!$E:$R,O$2,FALSE)</f>
        <v>1.5517437889524459</v>
      </c>
      <c r="P6" s="13">
        <f>VLOOKUP(P$4&amp;"#"&amp;$B6,DATA!$E:$R,P$2,FALSE)</f>
        <v>10.48535814906514</v>
      </c>
      <c r="Q6" s="13">
        <f>VLOOKUP(Q$4&amp;"#"&amp;$B6,DATA!$E:$R,Q$2,FALSE)</f>
        <v>1.1399999999999999</v>
      </c>
      <c r="R6" s="36"/>
      <c r="S6" s="13">
        <f>VLOOKUP(S$4&amp;"#"&amp;$B6,DATA!$E:$R,S$2,FALSE)</f>
        <v>19.751558097840007</v>
      </c>
      <c r="T6" s="13">
        <f>VLOOKUP(T$4&amp;"#"&amp;$B6,DATA!$E:$R,T$2,FALSE)</f>
        <v>25.608158456415946</v>
      </c>
      <c r="U6" s="13">
        <f>VLOOKUP(U$4&amp;"#"&amp;$B6,DATA!$E:$R,U$2,FALSE)</f>
        <v>9.6712541620421746</v>
      </c>
      <c r="V6" s="13">
        <f>VLOOKUP(V$4&amp;"#"&amp;$B6,DATA!$E:$R,V$2,FALSE)</f>
        <v>4.91</v>
      </c>
      <c r="W6" s="36"/>
      <c r="X6" s="13">
        <f>VLOOKUP(X$4&amp;"#"&amp;$B6,DATA!$E:$R,X$2,FALSE)</f>
        <v>5.5237769999146247</v>
      </c>
      <c r="Y6" s="13">
        <f>VLOOKUP(Y$4&amp;"#"&amp;$B6,DATA!$E:$R,Y$2,FALSE)</f>
        <v>1.4983351831298557</v>
      </c>
      <c r="Z6" s="13">
        <f>VLOOKUP(Z$4&amp;"#"&amp;$B6,DATA!$E:$R,Z$2,FALSE)</f>
        <v>4.2687612054981647</v>
      </c>
      <c r="AA6" s="13">
        <f>VLOOKUP(AA$4&amp;"#"&amp;$B6,DATA!$E:$R,AA$2,FALSE)</f>
        <v>1.8014172287202252</v>
      </c>
      <c r="AB6" s="13">
        <f>VLOOKUP(AB$4&amp;"#"&amp;$B6,DATA!$E:$R,AB$2,FALSE)</f>
        <v>6.294333219499701</v>
      </c>
      <c r="AC6" s="13">
        <f>VLOOKUP(AC$4&amp;"#"&amp;$B6,DATA!$E:$R,AC$2,FALSE)</f>
        <v>4.614007939895842</v>
      </c>
      <c r="AD6" s="13">
        <f>VLOOKUP(AD$4&amp;"#"&amp;$B6,DATA!$E:$R,AD$2,FALSE)</f>
        <v>7.7039392128404334</v>
      </c>
      <c r="AG6">
        <f t="shared" ref="AG6:AH8" si="1">AG5+1</f>
        <v>2011</v>
      </c>
      <c r="AH6">
        <f t="shared" si="1"/>
        <v>12</v>
      </c>
    </row>
    <row r="7" spans="2:34" outlineLevel="1">
      <c r="B7" s="1" t="s">
        <v>11</v>
      </c>
      <c r="D7" s="36"/>
      <c r="E7" s="13">
        <f>VLOOKUP(E$4&amp;"#"&amp;$B7,DATA!$E:$R,E$2,FALSE)</f>
        <v>3.3193310851190985</v>
      </c>
      <c r="F7" s="13">
        <f>VLOOKUP(F$4&amp;"#"&amp;$B7,DATA!$E:$R,F$2,FALSE)</f>
        <v>68.204678562281231</v>
      </c>
      <c r="G7" s="13">
        <f>VLOOKUP(G$4&amp;"#"&amp;$B7,DATA!$E:$R,G$2,FALSE)</f>
        <v>87.31</v>
      </c>
      <c r="H7" s="13">
        <f>VLOOKUP(H$4&amp;"#"&amp;$B7,DATA!$E:$R,H$2,FALSE)</f>
        <v>22.81</v>
      </c>
      <c r="I7" s="13">
        <f>VLOOKUP(I$4&amp;"#"&amp;$B7,DATA!$E:$R,I$2,FALSE)</f>
        <v>18.778323230598478</v>
      </c>
      <c r="J7" s="36"/>
      <c r="K7" s="13">
        <f>VLOOKUP(K$4&amp;"#"&amp;$B7,DATA!$E:$R,K$2,FALSE)</f>
        <v>23.33</v>
      </c>
      <c r="L7" s="13">
        <f>VLOOKUP(L$4&amp;"#"&amp;$B7,DATA!$E:$R,L$2,FALSE)</f>
        <v>17.18</v>
      </c>
      <c r="M7" s="13">
        <f>VLOOKUP(M$4&amp;"#"&amp;$B7,DATA!$E:$R,M$2,FALSE)</f>
        <v>3.76</v>
      </c>
      <c r="N7" s="36"/>
      <c r="O7" s="13">
        <f>VLOOKUP(O$4&amp;"#"&amp;$B7,DATA!$E:$R,O$2,FALSE)</f>
        <v>5.2383108511909846</v>
      </c>
      <c r="P7" s="13">
        <f>VLOOKUP(P$4&amp;"#"&amp;$B7,DATA!$E:$R,P$2,FALSE)</f>
        <v>6.0836047980875945</v>
      </c>
      <c r="Q7" s="13">
        <f>VLOOKUP(Q$4&amp;"#"&amp;$B7,DATA!$E:$R,Q$2,FALSE)</f>
        <v>2.2799999999999998</v>
      </c>
      <c r="R7" s="36"/>
      <c r="S7" s="13">
        <f>VLOOKUP(S$4&amp;"#"&amp;$B7,DATA!$E:$R,S$2,FALSE)</f>
        <v>7.5429010501152574</v>
      </c>
      <c r="T7" s="13">
        <f>VLOOKUP(T$4&amp;"#"&amp;$B7,DATA!$E:$R,T$2,FALSE)</f>
        <v>39.759600443951165</v>
      </c>
      <c r="U7" s="13">
        <f>VLOOKUP(U$4&amp;"#"&amp;$B7,DATA!$E:$R,U$2,FALSE)</f>
        <v>0</v>
      </c>
      <c r="V7" s="13">
        <f>VLOOKUP(V$4&amp;"#"&amp;$B7,DATA!$E:$R,V$2,FALSE)</f>
        <v>25.99</v>
      </c>
      <c r="W7" s="36"/>
      <c r="X7" s="13">
        <f>VLOOKUP(X$4&amp;"#"&amp;$B7,DATA!$E:$R,X$2,FALSE)</f>
        <v>5.7030649705455474</v>
      </c>
      <c r="Y7" s="13">
        <f>VLOOKUP(Y$4&amp;"#"&amp;$B7,DATA!$E:$R,Y$2,FALSE)</f>
        <v>0.70007683770169893</v>
      </c>
      <c r="Z7" s="13">
        <f>VLOOKUP(Z$4&amp;"#"&amp;$B7,DATA!$E:$R,Z$2,FALSE)</f>
        <v>0</v>
      </c>
      <c r="AA7" s="13">
        <f>VLOOKUP(AA$4&amp;"#"&amp;$B7,DATA!$E:$R,AA$2,FALSE)</f>
        <v>1.741654571843251</v>
      </c>
      <c r="AB7" s="13">
        <f>VLOOKUP(AB$4&amp;"#"&amp;$B7,DATA!$E:$R,AB$2,FALSE)</f>
        <v>4.889471100486638</v>
      </c>
      <c r="AC7" s="13">
        <f>VLOOKUP(AC$4&amp;"#"&amp;$B7,DATA!$E:$R,AC$2,FALSE)</f>
        <v>2.6582194997011865</v>
      </c>
      <c r="AD7" s="13">
        <f>VLOOKUP(AD$4&amp;"#"&amp;$B7,DATA!$E:$R,AD$2,FALSE)</f>
        <v>3.3394757961239647</v>
      </c>
      <c r="AG7">
        <f t="shared" si="1"/>
        <v>2012</v>
      </c>
      <c r="AH7">
        <f t="shared" si="1"/>
        <v>13</v>
      </c>
    </row>
    <row r="8" spans="2:34" outlineLevel="1">
      <c r="B8" s="1" t="s">
        <v>13</v>
      </c>
      <c r="D8" s="36"/>
      <c r="E8" s="13">
        <f>VLOOKUP(E$4&amp;"#"&amp;$B8,DATA!$E:$R,E$2,FALSE)</f>
        <v>14.089940664219244</v>
      </c>
      <c r="F8" s="13">
        <f>VLOOKUP(F$4&amp;"#"&amp;$B8,DATA!$E:$R,F$2,FALSE)</f>
        <v>39.460097754631605</v>
      </c>
      <c r="G8" s="13">
        <f>VLOOKUP(G$4&amp;"#"&amp;$B8,DATA!$E:$R,G$2,FALSE)</f>
        <v>7.71</v>
      </c>
      <c r="H8" s="13">
        <f>VLOOKUP(H$4&amp;"#"&amp;$B8,DATA!$E:$R,H$2,FALSE)</f>
        <v>14.04</v>
      </c>
      <c r="I8" s="13">
        <f>VLOOKUP(I$4&amp;"#"&amp;$B8,DATA!$E:$R,I$2,FALSE)</f>
        <v>16.395287287629127</v>
      </c>
      <c r="J8" s="36"/>
      <c r="K8" s="13">
        <f>VLOOKUP(K$4&amp;"#"&amp;$B8,DATA!$E:$R,K$2,FALSE)</f>
        <v>7.53</v>
      </c>
      <c r="L8" s="13">
        <f>VLOOKUP(L$4&amp;"#"&amp;$B8,DATA!$E:$R,L$2,FALSE)</f>
        <v>12.63</v>
      </c>
      <c r="M8" s="13">
        <f>VLOOKUP(M$4&amp;"#"&amp;$B8,DATA!$E:$R,M$2,FALSE)</f>
        <v>4.93</v>
      </c>
      <c r="N8" s="36"/>
      <c r="O8" s="13">
        <f>VLOOKUP(O$4&amp;"#"&amp;$B8,DATA!$E:$R,O$2,FALSE)</f>
        <v>2.6332621873132416</v>
      </c>
      <c r="P8" s="13">
        <f>VLOOKUP(P$4&amp;"#"&amp;$B8,DATA!$E:$R,P$2,FALSE)</f>
        <v>3.5331844104840773</v>
      </c>
      <c r="Q8" s="13">
        <f>VLOOKUP(Q$4&amp;"#"&amp;$B8,DATA!$E:$R,Q$2,FALSE)</f>
        <v>0.81870000000000009</v>
      </c>
      <c r="R8" s="36"/>
      <c r="S8" s="13">
        <f>VLOOKUP(S$4&amp;"#"&amp;$B8,DATA!$E:$R,S$2,FALSE)</f>
        <v>14.906514129599591</v>
      </c>
      <c r="T8" s="13">
        <f>VLOOKUP(T$4&amp;"#"&amp;$B8,DATA!$E:$R,T$2,FALSE)</f>
        <v>29.179083070093057</v>
      </c>
      <c r="U8" s="13">
        <f>VLOOKUP(U$4&amp;"#"&amp;$B8,DATA!$E:$R,U$2,FALSE)</f>
        <v>0</v>
      </c>
      <c r="V8" s="13">
        <f>VLOOKUP(V$4&amp;"#"&amp;$B8,DATA!$E:$R,V$2,FALSE)</f>
        <v>16.14</v>
      </c>
      <c r="W8" s="36"/>
      <c r="X8" s="13">
        <f>VLOOKUP(X$4&amp;"#"&amp;$B8,DATA!$E:$R,X$2,FALSE)</f>
        <v>4.123623324511227</v>
      </c>
      <c r="Y8" s="13">
        <f>VLOOKUP(Y$4&amp;"#"&amp;$B8,DATA!$E:$R,Y$2,FALSE)</f>
        <v>1.6477418253222913</v>
      </c>
      <c r="Z8" s="13">
        <f>VLOOKUP(Z$4&amp;"#"&amp;$B8,DATA!$E:$R,Z$2,FALSE)</f>
        <v>1.3489285409374201</v>
      </c>
      <c r="AA8" s="13">
        <f>VLOOKUP(AA$4&amp;"#"&amp;$B8,DATA!$E:$R,AA$2,FALSE)</f>
        <v>3.6284470246734397</v>
      </c>
      <c r="AB8" s="13">
        <f>VLOOKUP(AB$4&amp;"#"&amp;$B8,DATA!$E:$R,AB$2,FALSE)</f>
        <v>19.227328609237599</v>
      </c>
      <c r="AC8" s="13">
        <f>VLOOKUP(AC$4&amp;"#"&amp;$B8,DATA!$E:$R,AC$2,FALSE)</f>
        <v>2.2312516007854519</v>
      </c>
      <c r="AD8" s="13">
        <f>VLOOKUP(AD$4&amp;"#"&amp;$B8,DATA!$E:$R,AD$2,FALSE)</f>
        <v>4.7777648766328014</v>
      </c>
      <c r="AG8">
        <f t="shared" si="1"/>
        <v>2013</v>
      </c>
      <c r="AH8">
        <f t="shared" si="1"/>
        <v>14</v>
      </c>
    </row>
    <row r="9" spans="2:34" outlineLevel="1">
      <c r="B9" s="1" t="s">
        <v>15</v>
      </c>
      <c r="D9" s="36"/>
      <c r="E9" s="13">
        <f>VLOOKUP(E$4&amp;"#"&amp;$B9,DATA!$E:$R,E$2,FALSE)</f>
        <v>53.92191368564842</v>
      </c>
      <c r="F9" s="13">
        <f>VLOOKUP(F$4&amp;"#"&amp;$B9,DATA!$E:$R,F$2,FALSE)</f>
        <v>168.29421796294713</v>
      </c>
      <c r="G9" s="13">
        <f>VLOOKUP(G$4&amp;"#"&amp;$B9,DATA!$E:$R,G$2,FALSE)</f>
        <v>131.59</v>
      </c>
      <c r="H9" s="13">
        <f>VLOOKUP(H$4&amp;"#"&amp;$B9,DATA!$E:$R,H$2,FALSE)</f>
        <v>81.5</v>
      </c>
      <c r="I9" s="13">
        <f>VLOOKUP(I$4&amp;"#"&amp;$B9,DATA!$E:$R,I$2,FALSE)</f>
        <v>131.35294117647058</v>
      </c>
      <c r="J9" s="36"/>
      <c r="K9" s="13">
        <f>VLOOKUP(K$4&amp;"#"&amp;$B9,DATA!$E:$R,K$2,FALSE)</f>
        <v>39.85</v>
      </c>
      <c r="L9" s="13">
        <f>VLOOKUP(L$4&amp;"#"&amp;$B9,DATA!$E:$R,L$2,FALSE)</f>
        <v>38.340000000000003</v>
      </c>
      <c r="M9" s="13">
        <f>VLOOKUP(M$4&amp;"#"&amp;$B9,DATA!$E:$R,M$2,FALSE)</f>
        <v>15.32</v>
      </c>
      <c r="N9" s="36"/>
      <c r="O9" s="13">
        <f>VLOOKUP(O$4&amp;"#"&amp;$B9,DATA!$E:$R,O$2,FALSE)</f>
        <v>9.9123512336719877</v>
      </c>
      <c r="P9" s="13">
        <f>VLOOKUP(P$4&amp;"#"&amp;$B9,DATA!$E:$R,P$2,FALSE)</f>
        <v>21.733287799880472</v>
      </c>
      <c r="Q9" s="13">
        <f>VLOOKUP(Q$4&amp;"#"&amp;$B9,DATA!$E:$R,Q$2,FALSE)</f>
        <v>4.92</v>
      </c>
      <c r="R9" s="36"/>
      <c r="S9" s="13">
        <f>VLOOKUP(S$4&amp;"#"&amp;$B9,DATA!$E:$R,S$2,FALSE)</f>
        <v>52.655169469819853</v>
      </c>
      <c r="T9" s="13">
        <f>VLOOKUP(T$4&amp;"#"&amp;$B9,DATA!$E:$R,T$2,FALSE)</f>
        <v>96.662945445231784</v>
      </c>
      <c r="U9" s="13">
        <f>VLOOKUP(U$4&amp;"#"&amp;$B9,DATA!$E:$R,U$2,FALSE)</f>
        <v>103.16004439511653</v>
      </c>
      <c r="V9" s="13">
        <f>VLOOKUP(V$4&amp;"#"&amp;$B9,DATA!$E:$R,V$2,FALSE)</f>
        <v>59.31</v>
      </c>
      <c r="W9" s="36"/>
      <c r="X9" s="13">
        <f>VLOOKUP(X$4&amp;"#"&amp;$B9,DATA!$E:$R,X$2,FALSE)</f>
        <v>20.609579100145137</v>
      </c>
      <c r="Y9" s="13">
        <f>VLOOKUP(Y$4&amp;"#"&amp;$B9,DATA!$E:$R,Y$2,FALSE)</f>
        <v>4.0382481004012636</v>
      </c>
      <c r="Z9" s="13">
        <f>VLOOKUP(Z$4&amp;"#"&amp;$B9,DATA!$E:$R,Z$2,FALSE)</f>
        <v>7.0007683770169891</v>
      </c>
      <c r="AA9" s="13">
        <f>VLOOKUP(AA$4&amp;"#"&amp;$B9,DATA!$E:$R,AA$2,FALSE)</f>
        <v>7.7606078715956626</v>
      </c>
      <c r="AB9" s="13">
        <f>VLOOKUP(AB$4&amp;"#"&amp;$B9,DATA!$E:$R,AB$2,FALSE)</f>
        <v>34.129885597199696</v>
      </c>
      <c r="AC9" s="13">
        <f>VLOOKUP(AC$4&amp;"#"&amp;$B9,DATA!$E:$R,AC$2,FALSE)</f>
        <v>10.632877998804746</v>
      </c>
      <c r="AD9" s="13">
        <f>VLOOKUP(AD$4&amp;"#"&amp;$B9,DATA!$E:$R,AD$2,FALSE)</f>
        <v>16.13528899513361</v>
      </c>
    </row>
    <row r="10" spans="2:34" outlineLevel="1">
      <c r="B10" s="1" t="s">
        <v>17</v>
      </c>
      <c r="D10" s="36"/>
      <c r="E10" s="13">
        <f>E11-E9-E8</f>
        <v>51.497837872449409</v>
      </c>
      <c r="F10" s="13">
        <f>F11-F9-F8</f>
        <v>238.95051865448647</v>
      </c>
      <c r="G10" s="13">
        <f>G11-G9-G8</f>
        <v>62.73</v>
      </c>
      <c r="H10" s="13">
        <f>H11-H9-H8</f>
        <v>70.800000000000011</v>
      </c>
      <c r="I10" s="13">
        <f>I11-I9-I8</f>
        <v>190.45223256211048</v>
      </c>
      <c r="J10" s="36"/>
      <c r="K10" s="13">
        <f>K11-K9-K8</f>
        <v>9.029999999999994</v>
      </c>
      <c r="L10" s="13">
        <f>L11-L9-L8</f>
        <v>33.93</v>
      </c>
      <c r="M10" s="13">
        <f>M11-M9-M8</f>
        <v>39.270000000000003</v>
      </c>
      <c r="N10" s="36"/>
      <c r="O10" s="13">
        <f>O11-O9-O8</f>
        <v>5.4264010074276436</v>
      </c>
      <c r="P10" s="13">
        <f>P11-P9-P8</f>
        <v>12.671460001707507</v>
      </c>
      <c r="Q10" s="13">
        <f>Q11-Q9-Q8</f>
        <v>2.5912999999999999</v>
      </c>
      <c r="R10" s="36"/>
      <c r="S10" s="13">
        <f>S11-S9-S8</f>
        <v>253.86322889097585</v>
      </c>
      <c r="T10" s="13">
        <f>T11-T9-T8</f>
        <v>179.29017331170496</v>
      </c>
      <c r="U10" s="13">
        <f>U11-U9-U8</f>
        <v>253.70096815504144</v>
      </c>
      <c r="V10" s="13">
        <f>V11-V9-V8</f>
        <v>271.36</v>
      </c>
      <c r="W10" s="36"/>
      <c r="X10" s="13">
        <f t="shared" ref="X10:AD10" si="2">X11-X9-X8</f>
        <v>99.863399641424053</v>
      </c>
      <c r="Y10" s="13">
        <f t="shared" si="2"/>
        <v>7.7008452147186892</v>
      </c>
      <c r="Z10" s="13">
        <f t="shared" si="2"/>
        <v>13.164859557756339</v>
      </c>
      <c r="AA10" s="13">
        <f t="shared" si="2"/>
        <v>13.463672842141209</v>
      </c>
      <c r="AB10" s="13">
        <f t="shared" si="2"/>
        <v>58.894023734312285</v>
      </c>
      <c r="AC10" s="13">
        <f t="shared" si="2"/>
        <v>38.206740373943475</v>
      </c>
      <c r="AD10" s="13">
        <f t="shared" si="2"/>
        <v>50.125201058652777</v>
      </c>
    </row>
    <row r="11" spans="2:34" outlineLevel="1">
      <c r="B11" s="14" t="s">
        <v>18</v>
      </c>
      <c r="C11" s="15"/>
      <c r="D11" s="37"/>
      <c r="E11" s="16">
        <f>VLOOKUP(E$4&amp;"#"&amp;$B11,DATA!$E:$R,E$2,FALSE)</f>
        <v>119.50969222231707</v>
      </c>
      <c r="F11" s="16">
        <f>VLOOKUP(F$4&amp;"#"&amp;$B11,DATA!$E:$R,F$2,FALSE)</f>
        <v>446.70483437206519</v>
      </c>
      <c r="G11" s="16">
        <f>VLOOKUP(G$4&amp;"#"&amp;$B11,DATA!$E:$R,G$2,FALSE)</f>
        <v>202.03</v>
      </c>
      <c r="H11" s="16">
        <f>VLOOKUP(H$4&amp;"#"&amp;$B11,DATA!$E:$R,H$2,FALSE)</f>
        <v>166.34</v>
      </c>
      <c r="I11" s="16">
        <f>VLOOKUP(I$4&amp;"#"&amp;$B11,DATA!$E:$R,I$2,FALSE)</f>
        <v>338.20046102621018</v>
      </c>
      <c r="J11" s="37"/>
      <c r="K11" s="16">
        <f>VLOOKUP(K$4&amp;"#"&amp;$B11,DATA!$E:$R,K$2,FALSE)</f>
        <v>56.41</v>
      </c>
      <c r="L11" s="16">
        <f>VLOOKUP(L$4&amp;"#"&amp;$B11,DATA!$E:$R,L$2,FALSE)</f>
        <v>84.9</v>
      </c>
      <c r="M11" s="16">
        <f>VLOOKUP(M$4&amp;"#"&amp;$B11,DATA!$E:$R,M$2,FALSE)</f>
        <v>59.52</v>
      </c>
      <c r="N11" s="37"/>
      <c r="O11" s="16">
        <f>VLOOKUP(O$4&amp;"#"&amp;$B11,DATA!$E:$R,O$2,FALSE)</f>
        <v>17.972014428412873</v>
      </c>
      <c r="P11" s="16">
        <f>VLOOKUP(P$4&amp;"#"&amp;$B11,DATA!$E:$R,P$2,FALSE)</f>
        <v>37.937932212072056</v>
      </c>
      <c r="Q11" s="16">
        <f>VLOOKUP(Q$4&amp;"#"&amp;$B11,DATA!$E:$R,Q$2,FALSE)</f>
        <v>8.33</v>
      </c>
      <c r="R11" s="37"/>
      <c r="S11" s="16">
        <f>VLOOKUP(S$4&amp;"#"&amp;$B11,DATA!$E:$R,S$2,FALSE)</f>
        <v>321.42491249039529</v>
      </c>
      <c r="T11" s="16">
        <f>VLOOKUP(T$4&amp;"#"&amp;$B11,DATA!$E:$R,T$2,FALSE)</f>
        <v>305.1322018270298</v>
      </c>
      <c r="U11" s="16">
        <f>VLOOKUP(U$4&amp;"#"&amp;$B11,DATA!$E:$R,U$2,FALSE)</f>
        <v>356.86101255015797</v>
      </c>
      <c r="V11" s="16">
        <f>VLOOKUP(V$4&amp;"#"&amp;$B11,DATA!$E:$R,V$2,FALSE)</f>
        <v>346.81</v>
      </c>
      <c r="W11" s="37"/>
      <c r="X11" s="16">
        <f>VLOOKUP(X$4&amp;"#"&amp;$B11,DATA!$E:$R,X$2,FALSE)</f>
        <v>124.59660206608042</v>
      </c>
      <c r="Y11" s="16">
        <f>VLOOKUP(Y$4&amp;"#"&amp;$B11,DATA!$E:$R,Y$2,FALSE)</f>
        <v>13.386835140442244</v>
      </c>
      <c r="Z11" s="16">
        <f>VLOOKUP(Z$4&amp;"#"&amp;$B11,DATA!$E:$R,Z$2,FALSE)</f>
        <v>21.514556475710748</v>
      </c>
      <c r="AA11" s="16">
        <f>VLOOKUP(AA$4&amp;"#"&amp;$B11,DATA!$E:$R,AA$2,FALSE)</f>
        <v>24.852727738410312</v>
      </c>
      <c r="AB11" s="16">
        <f>VLOOKUP(AB$4&amp;"#"&amp;$B11,DATA!$E:$R,AB$2,FALSE)</f>
        <v>112.25123794074959</v>
      </c>
      <c r="AC11" s="16">
        <f>VLOOKUP(AC$4&amp;"#"&amp;$B11,DATA!$E:$R,AC$2,FALSE)</f>
        <v>51.070869973533675</v>
      </c>
      <c r="AD11" s="16">
        <f>VLOOKUP(AD$4&amp;"#"&amp;$B11,DATA!$E:$R,AD$2,FALSE)</f>
        <v>71.038254930419185</v>
      </c>
    </row>
    <row r="12" spans="2:34" outlineLevel="1">
      <c r="B12" s="1" t="s">
        <v>20</v>
      </c>
      <c r="D12" s="36"/>
      <c r="E12" s="13">
        <f>VLOOKUP(E$4&amp;"#"&amp;$B12,DATA!$E:$R,E$2,FALSE)</f>
        <v>23.74492444292666</v>
      </c>
      <c r="F12" s="13">
        <f>VLOOKUP(F$4&amp;"#"&amp;$B12,DATA!$E:$R,F$2,FALSE)</f>
        <v>24.819230769230767</v>
      </c>
      <c r="G12" s="13">
        <f>VLOOKUP(G$4&amp;"#"&amp;$B12,DATA!$E:$R,G$2,FALSE)</f>
        <v>19.53</v>
      </c>
      <c r="H12" s="13">
        <f>VLOOKUP(H$4&amp;"#"&amp;$B12,DATA!$E:$R,H$2,FALSE)</f>
        <v>23.62</v>
      </c>
      <c r="I12" s="13">
        <f>VLOOKUP(I$4&amp;"#"&amp;$B12,DATA!$E:$R,I$2,FALSE)</f>
        <v>20.112823358661316</v>
      </c>
      <c r="J12" s="36"/>
      <c r="K12" s="13">
        <f>VLOOKUP(K$4&amp;"#"&amp;$B12,DATA!$E:$R,K$2,FALSE)</f>
        <v>7.36</v>
      </c>
      <c r="L12" s="13">
        <f>VLOOKUP(L$4&amp;"#"&amp;$B12,DATA!$E:$R,L$2,FALSE)</f>
        <v>6.56</v>
      </c>
      <c r="M12" s="13">
        <f>VLOOKUP(M$4&amp;"#"&amp;$B12,DATA!$E:$R,M$2,FALSE)</f>
        <v>2.37</v>
      </c>
      <c r="N12" s="36"/>
      <c r="O12" s="13">
        <f>VLOOKUP(O$4&amp;"#"&amp;$B12,DATA!$E:$R,O$2,FALSE)</f>
        <v>4.7774899684111674</v>
      </c>
      <c r="P12" s="13">
        <f>VLOOKUP(P$4&amp;"#"&amp;$B12,DATA!$E:$R,P$2,FALSE)</f>
        <v>4.3523768462392214</v>
      </c>
      <c r="Q12" s="13">
        <f>VLOOKUP(Q$4&amp;"#"&amp;$B12,DATA!$E:$R,Q$2,FALSE)</f>
        <v>2.44</v>
      </c>
      <c r="R12" s="36"/>
      <c r="S12" s="13">
        <f>VLOOKUP(S$4&amp;"#"&amp;$B12,DATA!$E:$R,S$2,FALSE)</f>
        <v>11.918381285750876</v>
      </c>
      <c r="T12" s="13">
        <f>VLOOKUP(T$4&amp;"#"&amp;$B12,DATA!$E:$R,T$2,FALSE)</f>
        <v>47.066770255271919</v>
      </c>
      <c r="U12" s="13">
        <f>VLOOKUP(U$4&amp;"#"&amp;$B12,DATA!$E:$R,U$2,FALSE)</f>
        <v>0</v>
      </c>
      <c r="V12" s="13">
        <f>VLOOKUP(V$4&amp;"#"&amp;$B12,DATA!$E:$R,V$2,FALSE)</f>
        <v>30.92</v>
      </c>
      <c r="W12" s="36"/>
      <c r="X12" s="13">
        <f>VLOOKUP(X$4&amp;"#"&amp;$B12,DATA!$E:$R,X$2,FALSE)</f>
        <v>3.7735849056603774</v>
      </c>
      <c r="Y12" s="13">
        <f>VLOOKUP(Y$4&amp;"#"&amp;$B12,DATA!$E:$R,Y$2,FALSE)</f>
        <v>1.0330402117305557</v>
      </c>
      <c r="Z12" s="13">
        <f>VLOOKUP(Z$4&amp;"#"&amp;$B12,DATA!$E:$R,Z$2,FALSE)</f>
        <v>0</v>
      </c>
      <c r="AA12" s="13">
        <f>VLOOKUP(AA$4&amp;"#"&amp;$B12,DATA!$E:$R,AA$2,FALSE)</f>
        <v>1.3958849141978997</v>
      </c>
      <c r="AB12" s="13">
        <f>VLOOKUP(AB$4&amp;"#"&amp;$B12,DATA!$E:$R,AB$2,FALSE)</f>
        <v>12.602439597028942</v>
      </c>
      <c r="AC12" s="13">
        <f>VLOOKUP(AC$4&amp;"#"&amp;$B12,DATA!$E:$R,AC$2,FALSE)</f>
        <v>3.0576410825578417</v>
      </c>
      <c r="AD12" s="13">
        <f>VLOOKUP(AD$4&amp;"#"&amp;$B12,DATA!$E:$R,AD$2,FALSE)</f>
        <v>4.3644634167164691</v>
      </c>
    </row>
    <row r="13" spans="2:34" outlineLevel="1">
      <c r="B13" s="1" t="s">
        <v>21</v>
      </c>
      <c r="D13" s="36"/>
      <c r="E13" s="13">
        <f>VLOOKUP(E$4&amp;"#"&amp;$B13,DATA!$E:$R,E$2,FALSE)</f>
        <v>46.319130453342439</v>
      </c>
      <c r="F13" s="13">
        <f>VLOOKUP(F$4&amp;"#"&amp;$B13,DATA!$E:$R,F$2,FALSE)</f>
        <v>163.39097370443096</v>
      </c>
      <c r="G13" s="13">
        <f>VLOOKUP(G$4&amp;"#"&amp;$B13,DATA!$E:$R,G$2,FALSE)</f>
        <v>74.13</v>
      </c>
      <c r="H13" s="13">
        <f>VLOOKUP(H$4&amp;"#"&amp;$B13,DATA!$E:$R,H$2,FALSE)</f>
        <v>62.41</v>
      </c>
      <c r="I13" s="13">
        <f>VLOOKUP(I$4&amp;"#"&amp;$B13,DATA!$E:$R,I$2,FALSE)</f>
        <v>123.05997609493724</v>
      </c>
      <c r="J13" s="36"/>
      <c r="K13" s="13">
        <f>VLOOKUP(K$4&amp;"#"&amp;$B13,DATA!$E:$R,K$2,FALSE)</f>
        <v>22.6</v>
      </c>
      <c r="L13" s="13">
        <f>VLOOKUP(L$4&amp;"#"&amp;$B13,DATA!$E:$R,L$2,FALSE)</f>
        <v>27.3</v>
      </c>
      <c r="M13" s="13">
        <f>VLOOKUP(M$4&amp;"#"&amp;$B13,DATA!$E:$R,M$2,FALSE)</f>
        <v>21.98</v>
      </c>
      <c r="N13" s="36"/>
      <c r="O13" s="13">
        <f>VLOOKUP(O$4&amp;"#"&amp;$B13,DATA!$E:$R,O$2,FALSE)</f>
        <v>7.3073025697942455</v>
      </c>
      <c r="P13" s="13">
        <f>VLOOKUP(P$4&amp;"#"&amp;$B13,DATA!$E:$R,P$2,FALSE)</f>
        <v>9.2800185691112436</v>
      </c>
      <c r="Q13" s="13">
        <f>VLOOKUP(Q$4&amp;"#"&amp;$B13,DATA!$E:$R,Q$2,FALSE)</f>
        <v>3.58</v>
      </c>
      <c r="R13" s="36"/>
      <c r="S13" s="13">
        <f>VLOOKUP(S$4&amp;"#"&amp;$B13,DATA!$E:$R,S$2,FALSE)</f>
        <v>35.230086228976354</v>
      </c>
      <c r="T13" s="13">
        <f>VLOOKUP(T$4&amp;"#"&amp;$B13,DATA!$E:$R,T$2,FALSE)</f>
        <v>72.674928711687869</v>
      </c>
      <c r="U13" s="13">
        <f>VLOOKUP(U$4&amp;"#"&amp;$B13,DATA!$E:$R,U$2,FALSE)</f>
        <v>93.092020831554677</v>
      </c>
      <c r="V13" s="13">
        <f>VLOOKUP(V$4&amp;"#"&amp;$B13,DATA!$E:$R,V$2,FALSE)</f>
        <v>71.72</v>
      </c>
      <c r="W13" s="36"/>
      <c r="X13" s="13">
        <f>VLOOKUP(X$4&amp;"#"&amp;$B13,DATA!$E:$R,X$2,FALSE)</f>
        <v>9.1650303082045586</v>
      </c>
      <c r="Y13" s="13">
        <f>VLOOKUP(Y$4&amp;"#"&amp;$B13,DATA!$E:$R,Y$2,FALSE)</f>
        <v>2.1727994535985657</v>
      </c>
      <c r="Z13" s="13">
        <f>VLOOKUP(Z$4&amp;"#"&amp;$B13,DATA!$E:$R,Z$2,FALSE)</f>
        <v>2.3734312302569793</v>
      </c>
      <c r="AA13" s="13">
        <f>VLOOKUP(AA$4&amp;"#"&amp;$B13,DATA!$E:$R,AA$2,FALSE)</f>
        <v>3.0905831127806711</v>
      </c>
      <c r="AB13" s="13">
        <f>VLOOKUP(AB$4&amp;"#"&amp;$B13,DATA!$E:$R,AB$2,FALSE)</f>
        <v>25.218652352087421</v>
      </c>
      <c r="AC13" s="13">
        <f>VLOOKUP(AC$4&amp;"#"&amp;$B13,DATA!$E:$R,AC$2,FALSE)</f>
        <v>9.5723448305301808</v>
      </c>
      <c r="AD13" s="13">
        <f>VLOOKUP(AD$4&amp;"#"&amp;$B13,DATA!$E:$R,AD$2,FALSE)</f>
        <v>8.3321574319132594</v>
      </c>
    </row>
    <row r="14" spans="2:34" outlineLevel="1">
      <c r="B14" s="1" t="s">
        <v>23</v>
      </c>
      <c r="D14" s="36"/>
      <c r="E14" s="13">
        <f>E16-E13-E15</f>
        <v>55.863928967813528</v>
      </c>
      <c r="F14" s="13">
        <f>F16-F13-F15</f>
        <v>159.30034576965761</v>
      </c>
      <c r="G14" s="13">
        <f>G16-G13-G15</f>
        <v>101.15</v>
      </c>
      <c r="H14" s="13">
        <f>H16-H13-H15</f>
        <v>60.760000000000005</v>
      </c>
      <c r="I14" s="13">
        <f>I16-I13-I15</f>
        <v>93.415008964398538</v>
      </c>
      <c r="J14" s="36"/>
      <c r="K14" s="13">
        <f>K16-K13-K15</f>
        <v>26.149999999999995</v>
      </c>
      <c r="L14" s="13">
        <f>L16-L13-L15</f>
        <v>36.720000000000013</v>
      </c>
      <c r="M14" s="13">
        <f>M16-M13-M15</f>
        <v>27.270000000000007</v>
      </c>
      <c r="N14" s="36"/>
      <c r="O14" s="13">
        <f>O16-O13-O15</f>
        <v>1.0344958593016287</v>
      </c>
      <c r="P14" s="13">
        <f>P16-P13-P15</f>
        <v>5.49480427729873</v>
      </c>
      <c r="Q14" s="13">
        <f>Q16-Q13-Q15</f>
        <v>1.6</v>
      </c>
      <c r="R14" s="36"/>
      <c r="S14" s="13">
        <f>S16-S13-S15</f>
        <v>137.07419106975158</v>
      </c>
      <c r="T14" s="13">
        <f>T16-T13-T15</f>
        <v>102.28384530009393</v>
      </c>
      <c r="U14" s="13">
        <f>U16-U13-U15</f>
        <v>82.95786903440623</v>
      </c>
      <c r="V14" s="13">
        <f>V16-V13-V15</f>
        <v>94.590000000000032</v>
      </c>
      <c r="W14" s="36"/>
      <c r="X14" s="13">
        <f t="shared" ref="X14:AD14" si="3">X16-X13-X15</f>
        <v>50.49517629983778</v>
      </c>
      <c r="Y14" s="13">
        <f t="shared" si="3"/>
        <v>3.1759583368906359</v>
      </c>
      <c r="Z14" s="13">
        <f t="shared" si="3"/>
        <v>15.696234952616749</v>
      </c>
      <c r="AA14" s="13">
        <f t="shared" si="3"/>
        <v>8.093571245624517</v>
      </c>
      <c r="AB14" s="13">
        <f t="shared" si="3"/>
        <v>33.881968752667973</v>
      </c>
      <c r="AC14" s="13">
        <f t="shared" si="3"/>
        <v>18.759041236233234</v>
      </c>
      <c r="AD14" s="13">
        <f t="shared" si="3"/>
        <v>25.409773755656104</v>
      </c>
    </row>
    <row r="15" spans="2:34" outlineLevel="1">
      <c r="B15" s="1" t="s">
        <v>25</v>
      </c>
      <c r="D15" s="36"/>
      <c r="E15" s="13">
        <f>VLOOKUP(E$4&amp;"#"&amp;$B15,DATA!$E:$R,E$2,FALSE)</f>
        <v>17.326632801161104</v>
      </c>
      <c r="F15" s="13">
        <f>VLOOKUP(F$4&amp;"#"&amp;$B15,DATA!$E:$R,F$2,FALSE)</f>
        <v>124.01351489797661</v>
      </c>
      <c r="G15" s="13">
        <f>VLOOKUP(G$4&amp;"#"&amp;$B15,DATA!$E:$R,G$2,FALSE)</f>
        <v>26.75</v>
      </c>
      <c r="H15" s="13">
        <f>VLOOKUP(H$4&amp;"#"&amp;$B15,DATA!$E:$R,H$2,FALSE)</f>
        <v>43.17</v>
      </c>
      <c r="I15" s="13">
        <f>VLOOKUP(I$4&amp;"#"&amp;$B15,DATA!$E:$R,I$2,FALSE)</f>
        <v>121.7254759668744</v>
      </c>
      <c r="J15" s="36"/>
      <c r="K15" s="13">
        <f>VLOOKUP(K$4&amp;"#"&amp;$B15,DATA!$E:$R,K$2,FALSE)</f>
        <v>7.66</v>
      </c>
      <c r="L15" s="13">
        <f>VLOOKUP(L$4&amp;"#"&amp;$B15,DATA!$E:$R,L$2,FALSE)</f>
        <v>20.88</v>
      </c>
      <c r="M15" s="13">
        <f>VLOOKUP(M$4&amp;"#"&amp;$B15,DATA!$E:$R,M$2,FALSE)</f>
        <v>10.27</v>
      </c>
      <c r="N15" s="36"/>
      <c r="O15" s="13">
        <f>VLOOKUP(O$4&amp;"#"&amp;$B15,DATA!$E:$R,O$2,FALSE)</f>
        <v>9.6302159993169987</v>
      </c>
      <c r="P15" s="13">
        <f>VLOOKUP(P$4&amp;"#"&amp;$B15,DATA!$E:$R,P$2,FALSE)</f>
        <v>23.163109365662084</v>
      </c>
      <c r="Q15" s="13">
        <f>VLOOKUP(Q$4&amp;"#"&amp;$B15,DATA!$E:$R,Q$2,FALSE)</f>
        <v>3.15</v>
      </c>
      <c r="R15" s="36"/>
      <c r="S15" s="13">
        <f>VLOOKUP(S$4&amp;"#"&amp;$B15,DATA!$E:$R,S$2,FALSE)</f>
        <v>149.12063519166736</v>
      </c>
      <c r="T15" s="13">
        <f>VLOOKUP(T$4&amp;"#"&amp;$B15,DATA!$E:$R,T$2,FALSE)</f>
        <v>130.173427815248</v>
      </c>
      <c r="U15" s="13">
        <f>VLOOKUP(U$4&amp;"#"&amp;$B15,DATA!$E:$R,U$2,FALSE)</f>
        <v>180.81112268419704</v>
      </c>
      <c r="V15" s="13">
        <f>VLOOKUP(V$4&amp;"#"&amp;$B15,DATA!$E:$R,V$2,FALSE)</f>
        <v>180.5</v>
      </c>
      <c r="W15" s="36"/>
      <c r="X15" s="13">
        <f>VLOOKUP(X$4&amp;"#"&amp;$B15,DATA!$E:$R,X$2,FALSE)</f>
        <v>64.936395458038078</v>
      </c>
      <c r="Y15" s="13">
        <f>VLOOKUP(Y$4&amp;"#"&amp;$B15,DATA!$E:$R,Y$2,FALSE)</f>
        <v>8.038077349953042</v>
      </c>
      <c r="Z15" s="13">
        <f>VLOOKUP(Z$4&amp;"#"&amp;$B15,DATA!$E:$R,Z$2,FALSE)</f>
        <v>3.4448902928370186</v>
      </c>
      <c r="AA15" s="13">
        <f>VLOOKUP(AA$4&amp;"#"&amp;$B15,DATA!$E:$R,AA$2,FALSE)</f>
        <v>13.668573380005125</v>
      </c>
      <c r="AB15" s="13">
        <f>VLOOKUP(AB$4&amp;"#"&amp;$B15,DATA!$E:$R,AB$2,FALSE)</f>
        <v>53.1506168359942</v>
      </c>
      <c r="AC15" s="13">
        <f>VLOOKUP(AC$4&amp;"#"&amp;$B15,DATA!$E:$R,AC$2,FALSE)</f>
        <v>22.739483906770257</v>
      </c>
      <c r="AD15" s="13">
        <f>VLOOKUP(AD$4&amp;"#"&amp;$B15,DATA!$E:$R,AD$2,FALSE)</f>
        <v>37.296323742849822</v>
      </c>
    </row>
    <row r="16" spans="2:34" outlineLevel="1">
      <c r="B16" s="14" t="s">
        <v>27</v>
      </c>
      <c r="C16" s="15"/>
      <c r="D16" s="37"/>
      <c r="E16" s="16">
        <f>E11</f>
        <v>119.50969222231707</v>
      </c>
      <c r="F16" s="16">
        <f>F11</f>
        <v>446.70483437206519</v>
      </c>
      <c r="G16" s="16">
        <f>G11</f>
        <v>202.03</v>
      </c>
      <c r="H16" s="16">
        <f>H11</f>
        <v>166.34</v>
      </c>
      <c r="I16" s="16">
        <f>I11</f>
        <v>338.20046102621018</v>
      </c>
      <c r="J16" s="37"/>
      <c r="K16" s="16">
        <f>K11</f>
        <v>56.41</v>
      </c>
      <c r="L16" s="16">
        <f>L11</f>
        <v>84.9</v>
      </c>
      <c r="M16" s="16">
        <f>M11</f>
        <v>59.52</v>
      </c>
      <c r="N16" s="37"/>
      <c r="O16" s="16">
        <f>O11</f>
        <v>17.972014428412873</v>
      </c>
      <c r="P16" s="16">
        <f>P11</f>
        <v>37.937932212072056</v>
      </c>
      <c r="Q16" s="16">
        <f>Q11</f>
        <v>8.33</v>
      </c>
      <c r="R16" s="37"/>
      <c r="S16" s="16">
        <f>S11</f>
        <v>321.42491249039529</v>
      </c>
      <c r="T16" s="16">
        <f>T11</f>
        <v>305.1322018270298</v>
      </c>
      <c r="U16" s="16">
        <f>U11</f>
        <v>356.86101255015797</v>
      </c>
      <c r="V16" s="16">
        <f>V11</f>
        <v>346.81</v>
      </c>
      <c r="W16" s="37"/>
      <c r="X16" s="16">
        <f t="shared" ref="X16:AD16" si="4">X11</f>
        <v>124.59660206608042</v>
      </c>
      <c r="Y16" s="16">
        <f t="shared" si="4"/>
        <v>13.386835140442244</v>
      </c>
      <c r="Z16" s="16">
        <f t="shared" si="4"/>
        <v>21.514556475710748</v>
      </c>
      <c r="AA16" s="16">
        <f t="shared" si="4"/>
        <v>24.852727738410312</v>
      </c>
      <c r="AB16" s="16">
        <f t="shared" si="4"/>
        <v>112.25123794074959</v>
      </c>
      <c r="AC16" s="16">
        <f t="shared" si="4"/>
        <v>51.070869973533675</v>
      </c>
      <c r="AD16" s="16">
        <f t="shared" si="4"/>
        <v>71.038254930419185</v>
      </c>
    </row>
    <row r="17" spans="2:30" outlineLevel="1">
      <c r="D17" s="36"/>
      <c r="E17" s="13"/>
      <c r="F17" s="13"/>
      <c r="G17" s="13"/>
      <c r="H17" s="13"/>
      <c r="I17" s="13"/>
      <c r="J17" s="36"/>
      <c r="K17" s="13"/>
      <c r="L17" s="13"/>
      <c r="M17" s="13"/>
      <c r="N17" s="36"/>
      <c r="O17" s="13"/>
      <c r="P17" s="13"/>
      <c r="Q17" s="13"/>
      <c r="R17" s="36"/>
      <c r="S17" s="13"/>
      <c r="T17" s="13"/>
      <c r="U17" s="13"/>
      <c r="V17" s="13"/>
      <c r="W17" s="36"/>
      <c r="X17" s="13"/>
      <c r="Y17" s="13"/>
      <c r="Z17" s="13"/>
      <c r="AA17" s="13"/>
      <c r="AB17" s="13"/>
      <c r="AC17" s="13"/>
      <c r="AD17" s="13"/>
    </row>
    <row r="18" spans="2:30" outlineLevel="1">
      <c r="B18" s="14" t="s">
        <v>30</v>
      </c>
      <c r="C18" s="15"/>
      <c r="D18" s="37"/>
      <c r="E18" s="16">
        <f>VLOOKUP(E$4&amp;"#"&amp;$B18,DATA!$E:$R,E$2,FALSE)</f>
        <v>119.57855801246477</v>
      </c>
      <c r="F18" s="16">
        <f>VLOOKUP(F$4&amp;"#"&amp;$B18,DATA!$E:$R,F$2,FALSE)</f>
        <v>271.34498633996412</v>
      </c>
      <c r="G18" s="16">
        <f>VLOOKUP(G$4&amp;"#"&amp;$B18,DATA!$E:$R,G$2,FALSE)</f>
        <v>146.91999999999999</v>
      </c>
      <c r="H18" s="16">
        <f>VLOOKUP(H$4&amp;"#"&amp;$B18,DATA!$E:$R,H$2,FALSE)</f>
        <v>155.43</v>
      </c>
      <c r="I18" s="16">
        <f>VLOOKUP(I$4&amp;"#"&amp;$B18,DATA!$E:$R,I$2,FALSE)</f>
        <v>210.27909160761544</v>
      </c>
      <c r="J18" s="37"/>
      <c r="K18" s="16">
        <f>VLOOKUP(K$4&amp;"#"&amp;$B18,DATA!$E:$R,K$2,FALSE)</f>
        <v>34.22</v>
      </c>
      <c r="L18" s="16">
        <f>VLOOKUP(L$4&amp;"#"&amp;$B18,DATA!$E:$R,L$2,FALSE)</f>
        <v>55.66</v>
      </c>
      <c r="M18" s="16">
        <f>VLOOKUP(M$4&amp;"#"&amp;$B18,DATA!$E:$R,M$2,FALSE)</f>
        <v>37.799999999999997</v>
      </c>
      <c r="N18" s="37"/>
      <c r="O18" s="16">
        <f>VLOOKUP(O$4&amp;"#"&amp;$B18,DATA!$E:$R,O$2,FALSE)</f>
        <v>33.752778536668657</v>
      </c>
      <c r="P18" s="16">
        <f>VLOOKUP(P$4&amp;"#"&amp;$B18,DATA!$E:$R,P$2,FALSE)</f>
        <v>34.12507470332109</v>
      </c>
      <c r="Q18" s="16">
        <f>VLOOKUP(Q$4&amp;"#"&amp;$B18,DATA!$E:$R,Q$2,FALSE)</f>
        <v>16.23</v>
      </c>
      <c r="R18" s="37"/>
      <c r="S18" s="16">
        <f>VLOOKUP(S$4&amp;"#"&amp;$B18,DATA!$E:$R,S$2,FALSE)</f>
        <v>130.15026039443353</v>
      </c>
      <c r="T18" s="16">
        <f>VLOOKUP(T$4&amp;"#"&amp;$B18,DATA!$E:$R,T$2,FALSE)</f>
        <v>400.98507641082557</v>
      </c>
      <c r="U18" s="16">
        <f>VLOOKUP(U$4&amp;"#"&amp;$B18,DATA!$E:$R,U$2,FALSE)</f>
        <v>477.2474617945872</v>
      </c>
      <c r="V18" s="16">
        <f>VLOOKUP(V$4&amp;"#"&amp;$B18,DATA!$E:$R,V$2,FALSE)</f>
        <v>393.72</v>
      </c>
      <c r="W18" s="37"/>
      <c r="X18" s="16">
        <f>VLOOKUP(X$4&amp;"#"&amp;$B18,DATA!$E:$R,X$2,FALSE)</f>
        <v>43.323657474600871</v>
      </c>
      <c r="Y18" s="16">
        <f>VLOOKUP(Y$4&amp;"#"&amp;$B18,DATA!$E:$R,Y$2,FALSE)</f>
        <v>5.4768206266541446</v>
      </c>
      <c r="Z18" s="16">
        <f>VLOOKUP(Z$4&amp;"#"&amp;$B18,DATA!$E:$R,Z$2,FALSE)</f>
        <v>7.3892256467173221</v>
      </c>
      <c r="AA18" s="16">
        <f>VLOOKUP(AA$4&amp;"#"&amp;$B18,DATA!$E:$R,AA$2,FALSE)</f>
        <v>17.015282165115682</v>
      </c>
      <c r="AB18" s="16">
        <f>VLOOKUP(AB$4&amp;"#"&amp;$B18,DATA!$E:$R,AB$2,FALSE)</f>
        <v>82.41857764876633</v>
      </c>
      <c r="AC18" s="16">
        <f>VLOOKUP(AC$4&amp;"#"&amp;$B18,DATA!$E:$R,AC$2,FALSE)</f>
        <v>20.935200204900536</v>
      </c>
      <c r="AD18" s="16">
        <f>VLOOKUP(AD$4&amp;"#"&amp;$B18,DATA!$E:$R,AD$2,FALSE)</f>
        <v>31.030673610518225</v>
      </c>
    </row>
    <row r="19" spans="2:30" outlineLevel="1">
      <c r="B19" s="1" t="s">
        <v>32</v>
      </c>
      <c r="D19" s="36"/>
      <c r="E19" s="13">
        <f>E18-E20</f>
        <v>103.93225049090752</v>
      </c>
      <c r="F19" s="13">
        <f>F18-F20</f>
        <v>225.10849483479893</v>
      </c>
      <c r="G19" s="13">
        <f>G18-G20</f>
        <v>121.39999999999999</v>
      </c>
      <c r="H19" s="13">
        <f>H18-H20</f>
        <v>134.93</v>
      </c>
      <c r="I19" s="13">
        <f>I18-I20</f>
        <v>176.53530265516946</v>
      </c>
      <c r="J19" s="36"/>
      <c r="K19" s="13">
        <f>K18-K20</f>
        <v>28.06</v>
      </c>
      <c r="L19" s="13">
        <f>L18-L20</f>
        <v>41.5</v>
      </c>
      <c r="M19" s="13">
        <f>M18-M20</f>
        <v>26.549999999999997</v>
      </c>
      <c r="N19" s="36"/>
      <c r="O19" s="13">
        <f>O18-O20</f>
        <v>30.376560232220609</v>
      </c>
      <c r="P19" s="13">
        <f>P18-P20</f>
        <v>25.597046956373255</v>
      </c>
      <c r="Q19" s="13">
        <f>Q18-Q20</f>
        <v>14.940000000000001</v>
      </c>
      <c r="R19" s="36"/>
      <c r="S19" s="13">
        <f>S18-S20</f>
        <v>102.99240160505421</v>
      </c>
      <c r="T19" s="13">
        <f>T18-T20</f>
        <v>362.58110475539996</v>
      </c>
      <c r="U19" s="13">
        <f>U18-U20</f>
        <v>431.91655767096387</v>
      </c>
      <c r="V19" s="13">
        <f>V18-V20</f>
        <v>303.84000000000003</v>
      </c>
      <c r="W19" s="36"/>
      <c r="X19" s="13">
        <f t="shared" ref="X19:AD19" si="5">X18-X20</f>
        <v>22.590284299496286</v>
      </c>
      <c r="Y19" s="13">
        <f t="shared" si="5"/>
        <v>4.8663877742679071</v>
      </c>
      <c r="Z19" s="13">
        <f t="shared" si="5"/>
        <v>5.3146077008452135</v>
      </c>
      <c r="AA19" s="13">
        <f t="shared" si="5"/>
        <v>14.825407666695124</v>
      </c>
      <c r="AB19" s="13">
        <f t="shared" si="5"/>
        <v>78.066259711431741</v>
      </c>
      <c r="AC19" s="13">
        <f t="shared" si="5"/>
        <v>16.169687526679756</v>
      </c>
      <c r="AD19" s="13">
        <f t="shared" si="5"/>
        <v>24.500510543840175</v>
      </c>
    </row>
    <row r="20" spans="2:30" outlineLevel="1">
      <c r="B20" s="14" t="s">
        <v>34</v>
      </c>
      <c r="C20" s="15"/>
      <c r="D20" s="37"/>
      <c r="E20" s="16">
        <f>VLOOKUP(E$4&amp;"#"&amp;$B20,DATA!$E:$R,E$2,FALSE)</f>
        <v>15.646307521557242</v>
      </c>
      <c r="F20" s="16">
        <f>VLOOKUP(F$4&amp;"#"&amp;$B20,DATA!$E:$R,F$2,FALSE)</f>
        <v>46.236491505165198</v>
      </c>
      <c r="G20" s="16">
        <f>VLOOKUP(G$4&amp;"#"&amp;$B20,DATA!$E:$R,G$2,FALSE)</f>
        <v>25.52</v>
      </c>
      <c r="H20" s="16">
        <f>VLOOKUP(H$4&amp;"#"&amp;$B20,DATA!$E:$R,H$2,FALSE)</f>
        <v>20.5</v>
      </c>
      <c r="I20" s="16">
        <f>VLOOKUP(I$4&amp;"#"&amp;$B20,DATA!$E:$R,I$2,FALSE)</f>
        <v>33.743788952445996</v>
      </c>
      <c r="J20" s="37"/>
      <c r="K20" s="16">
        <f>VLOOKUP(K$4&amp;"#"&amp;$B20,DATA!$E:$R,K$2,FALSE)</f>
        <v>6.16</v>
      </c>
      <c r="L20" s="16">
        <f>VLOOKUP(L$4&amp;"#"&amp;$B20,DATA!$E:$R,L$2,FALSE)</f>
        <v>14.16</v>
      </c>
      <c r="M20" s="16">
        <f>VLOOKUP(M$4&amp;"#"&amp;$B20,DATA!$E:$R,M$2,FALSE)</f>
        <v>11.25</v>
      </c>
      <c r="N20" s="37"/>
      <c r="O20" s="16">
        <f>VLOOKUP(O$4&amp;"#"&amp;$B20,DATA!$E:$R,O$2,FALSE)</f>
        <v>3.3762183044480492</v>
      </c>
      <c r="P20" s="16">
        <f>VLOOKUP(P$4&amp;"#"&amp;$B20,DATA!$E:$R,P$2,FALSE)</f>
        <v>8.5280277469478349</v>
      </c>
      <c r="Q20" s="16">
        <f>VLOOKUP(Q$4&amp;"#"&amp;$B20,DATA!$E:$R,Q$2,FALSE)</f>
        <v>1.29</v>
      </c>
      <c r="R20" s="37"/>
      <c r="S20" s="16">
        <f>VLOOKUP(S$4&amp;"#"&amp;$B20,DATA!$E:$R,S$2,FALSE)</f>
        <v>27.157858789379322</v>
      </c>
      <c r="T20" s="16">
        <f>VLOOKUP(T$4&amp;"#"&amp;$B20,DATA!$E:$R,T$2,FALSE)</f>
        <v>38.403971655425593</v>
      </c>
      <c r="U20" s="16">
        <f>VLOOKUP(U$4&amp;"#"&amp;$B20,DATA!$E:$R,U$2,FALSE)</f>
        <v>45.330904123623327</v>
      </c>
      <c r="V20" s="16">
        <f>VLOOKUP(V$4&amp;"#"&amp;$B20,DATA!$E:$R,V$2,FALSE)</f>
        <v>89.88</v>
      </c>
      <c r="W20" s="37"/>
      <c r="X20" s="16">
        <f>VLOOKUP(X$4&amp;"#"&amp;$B20,DATA!$E:$R,X$2,FALSE)</f>
        <v>20.733373175104585</v>
      </c>
      <c r="Y20" s="16">
        <f>VLOOKUP(Y$4&amp;"#"&amp;$B20,DATA!$E:$R,Y$2,FALSE)</f>
        <v>0.61043285238623746</v>
      </c>
      <c r="Z20" s="16">
        <f>VLOOKUP(Z$4&amp;"#"&amp;$B20,DATA!$E:$R,Z$2,FALSE)</f>
        <v>2.0746179458721081</v>
      </c>
      <c r="AA20" s="16">
        <f>VLOOKUP(AA$4&amp;"#"&amp;$B20,DATA!$E:$R,AA$2,FALSE)</f>
        <v>2.1898744984205583</v>
      </c>
      <c r="AB20" s="16">
        <f>VLOOKUP(AB$4&amp;"#"&amp;$B20,DATA!$E:$R,AB$2,FALSE)</f>
        <v>4.3523179373345853</v>
      </c>
      <c r="AC20" s="16">
        <f>VLOOKUP(AC$4&amp;"#"&amp;$B20,DATA!$E:$R,AC$2,FALSE)</f>
        <v>4.7655126782207802</v>
      </c>
      <c r="AD20" s="16">
        <f>VLOOKUP(AD$4&amp;"#"&amp;$B20,DATA!$E:$R,AD$2,FALSE)</f>
        <v>6.5301630666780506</v>
      </c>
    </row>
    <row r="21" spans="2:30" outlineLevel="1">
      <c r="B21" s="1" t="s">
        <v>36</v>
      </c>
      <c r="D21" s="36"/>
      <c r="E21" s="13">
        <f>VLOOKUP(E$4&amp;"#"&amp;$B21,DATA!$E:$R,E$2,FALSE)</f>
        <v>11.032299581661402</v>
      </c>
      <c r="F21" s="13">
        <f>VLOOKUP(F$4&amp;"#"&amp;$B21,DATA!$E:$R,F$2,FALSE)</f>
        <v>34.515534022026806</v>
      </c>
      <c r="G21" s="13">
        <f>VLOOKUP(G$4&amp;"#"&amp;$B21,DATA!$E:$R,G$2,FALSE)</f>
        <v>19.78</v>
      </c>
      <c r="H21" s="13">
        <f>VLOOKUP(H$4&amp;"#"&amp;$B21,DATA!$E:$R,H$2,FALSE)</f>
        <v>12.32</v>
      </c>
      <c r="I21" s="13">
        <f>VLOOKUP(I$4&amp;"#"&amp;$B21,DATA!$E:$R,I$2,FALSE)</f>
        <v>20.017501920942539</v>
      </c>
      <c r="J21" s="36"/>
      <c r="K21" s="13">
        <f>VLOOKUP(K$4&amp;"#"&amp;$B21,DATA!$E:$R,K$2,FALSE)</f>
        <v>3.44</v>
      </c>
      <c r="L21" s="13">
        <f>VLOOKUP(L$4&amp;"#"&amp;$B21,DATA!$E:$R,L$2,FALSE)</f>
        <v>7.49</v>
      </c>
      <c r="M21" s="13">
        <f>VLOOKUP(M$4&amp;"#"&amp;$B21,DATA!$E:$R,M$2,FALSE)</f>
        <v>5.08</v>
      </c>
      <c r="N21" s="36"/>
      <c r="O21" s="13">
        <f>VLOOKUP(O$4&amp;"#"&amp;$B21,DATA!$E:$R,O$2,FALSE)</f>
        <v>1.5705528045761119</v>
      </c>
      <c r="P21" s="13">
        <f>VLOOKUP(P$4&amp;"#"&amp;$B21,DATA!$E:$R,P$2,FALSE)</f>
        <v>5.8202316656706223</v>
      </c>
      <c r="Q21" s="13">
        <f>VLOOKUP(Q$4&amp;"#"&amp;$B21,DATA!$E:$R,Q$2,FALSE)</f>
        <v>0.50339999999999996</v>
      </c>
      <c r="R21" s="36"/>
      <c r="S21" s="13">
        <f>VLOOKUP(S$4&amp;"#"&amp;$B21,DATA!$E:$R,S$2,FALSE)</f>
        <v>10.151114146674635</v>
      </c>
      <c r="T21" s="13">
        <f>VLOOKUP(T$4&amp;"#"&amp;$B21,DATA!$E:$R,T$2,FALSE)</f>
        <v>13.82080081960215</v>
      </c>
      <c r="U21" s="13">
        <f>VLOOKUP(U$4&amp;"#"&amp;$B21,DATA!$E:$R,U$2,FALSE)</f>
        <v>16.912295739776319</v>
      </c>
      <c r="V21" s="13">
        <f>VLOOKUP(V$4&amp;"#"&amp;$B21,DATA!$E:$R,V$2,FALSE)</f>
        <v>12.88</v>
      </c>
      <c r="W21" s="36"/>
      <c r="X21" s="13">
        <f>VLOOKUP(X$4&amp;"#"&amp;$B21,DATA!$E:$R,X$2,FALSE)</f>
        <v>1.76726713907624</v>
      </c>
      <c r="Y21" s="13">
        <f>VLOOKUP(Y$4&amp;"#"&amp;$B21,DATA!$E:$R,Y$2,FALSE)</f>
        <v>0.35865277896354475</v>
      </c>
      <c r="Z21" s="13">
        <f>VLOOKUP(Z$4&amp;"#"&amp;$B21,DATA!$E:$R,Z$2,FALSE)</f>
        <v>0.56774524033125584</v>
      </c>
      <c r="AA21" s="13">
        <f>VLOOKUP(AA$4&amp;"#"&amp;$B21,DATA!$E:$R,AA$2,FALSE)</f>
        <v>1.1141466746350208</v>
      </c>
      <c r="AB21" s="13">
        <f>VLOOKUP(AB$4&amp;"#"&amp;$B21,DATA!$E:$R,AB$2,FALSE)</f>
        <v>3.1127337146760006</v>
      </c>
      <c r="AC21" s="13">
        <f>VLOOKUP(AC$4&amp;"#"&amp;$B21,DATA!$E:$R,AC$2,FALSE)</f>
        <v>1.900695808076496</v>
      </c>
      <c r="AD21" s="13">
        <f>VLOOKUP(AD$4&amp;"#"&amp;$B21,DATA!$E:$R,AD$2,FALSE)</f>
        <v>0</v>
      </c>
    </row>
    <row r="22" spans="2:30" outlineLevel="1">
      <c r="B22" s="1" t="s">
        <v>38</v>
      </c>
      <c r="D22" s="36"/>
      <c r="E22" s="13">
        <f>VLOOKUP(E$4&amp;"#"&amp;$B22,DATA!$E:$R,E$2,FALSE)</f>
        <v>1.8180568598992572</v>
      </c>
      <c r="F22" s="13">
        <f>VLOOKUP(F$4&amp;"#"&amp;$B22,DATA!$E:$R,F$2,FALSE)</f>
        <v>10.756836421070604</v>
      </c>
      <c r="G22" s="13">
        <f>VLOOKUP(G$4&amp;"#"&amp;$B22,DATA!$E:$R,G$2,FALSE)</f>
        <v>6.4</v>
      </c>
      <c r="H22" s="13">
        <f>VLOOKUP(H$4&amp;"#"&amp;$B22,DATA!$E:$R,H$2,FALSE)</f>
        <v>7.2</v>
      </c>
      <c r="I22" s="13">
        <f>VLOOKUP(I$4&amp;"#"&amp;$B22,DATA!$E:$R,I$2,FALSE)</f>
        <v>7.6967294886024078</v>
      </c>
      <c r="J22" s="36"/>
      <c r="K22" s="13">
        <f>VLOOKUP(K$4&amp;"#"&amp;$B22,DATA!$E:$R,K$2,FALSE)</f>
        <v>0.48060000000000003</v>
      </c>
      <c r="L22" s="13">
        <f>VLOOKUP(L$4&amp;"#"&amp;$B22,DATA!$E:$R,L$2,FALSE)</f>
        <v>2.0499999999999998</v>
      </c>
      <c r="M22" s="13">
        <f>VLOOKUP(M$4&amp;"#"&amp;$B22,DATA!$E:$R,M$2,FALSE)</f>
        <v>1.48</v>
      </c>
      <c r="N22" s="36"/>
      <c r="O22" s="13">
        <f>VLOOKUP(O$4&amp;"#"&amp;$B22,DATA!$E:$R,O$2,FALSE)</f>
        <v>0</v>
      </c>
      <c r="P22" s="13">
        <f>VLOOKUP(P$4&amp;"#"&amp;$B22,DATA!$E:$R,P$2,FALSE)</f>
        <v>3.1976529497139925</v>
      </c>
      <c r="Q22" s="13">
        <f>VLOOKUP(Q$4&amp;"#"&amp;$B22,DATA!$E:$R,Q$2,FALSE)</f>
        <v>0.10840000000000001</v>
      </c>
      <c r="R22" s="36"/>
      <c r="S22" s="13">
        <f>VLOOKUP(S$4&amp;"#"&amp;$B22,DATA!$E:$R,S$2,FALSE)</f>
        <v>1.0373089729360541</v>
      </c>
      <c r="T22" s="13">
        <f>VLOOKUP(T$4&amp;"#"&amp;$B22,DATA!$E:$R,T$2,FALSE)</f>
        <v>0</v>
      </c>
      <c r="U22" s="13">
        <f>VLOOKUP(U$4&amp;"#"&amp;$B22,DATA!$E:$R,U$2,FALSE)</f>
        <v>1.3939831640058056</v>
      </c>
      <c r="V22" s="13">
        <f>VLOOKUP(V$4&amp;"#"&amp;$B22,DATA!$E:$R,V$2,FALSE)</f>
        <v>1.04</v>
      </c>
      <c r="W22" s="36"/>
      <c r="X22" s="13">
        <f>VLOOKUP(X$4&amp;"#"&amp;$B22,DATA!$E:$R,X$2,FALSE)</f>
        <v>0.74703321096217878</v>
      </c>
      <c r="Y22" s="13">
        <f>VLOOKUP(Y$4&amp;"#"&amp;$B22,DATA!$E:$R,Y$2,FALSE)</f>
        <v>1.304533424400239E-2</v>
      </c>
      <c r="Z22" s="13">
        <f>VLOOKUP(Z$4&amp;"#"&amp;$B22,DATA!$E:$R,Z$2,FALSE)</f>
        <v>0</v>
      </c>
      <c r="AA22" s="13">
        <f>VLOOKUP(AA$4&amp;"#"&amp;$B22,DATA!$E:$R,AA$2,FALSE)</f>
        <v>0</v>
      </c>
      <c r="AB22" s="13">
        <f>VLOOKUP(AB$4&amp;"#"&amp;$B22,DATA!$E:$R,AB$2,FALSE)</f>
        <v>0.28010471484675148</v>
      </c>
      <c r="AC22" s="13">
        <f>VLOOKUP(AC$4&amp;"#"&amp;$B22,DATA!$E:$R,AC$2,FALSE)</f>
        <v>0</v>
      </c>
      <c r="AD22" s="13">
        <f>VLOOKUP(AD$4&amp;"#"&amp;$B22,DATA!$E:$R,AD$2,FALSE)</f>
        <v>0</v>
      </c>
    </row>
    <row r="23" spans="2:30" outlineLevel="1">
      <c r="B23" s="1" t="s">
        <v>40</v>
      </c>
      <c r="D23" s="36"/>
      <c r="E23" s="13">
        <f>VLOOKUP(E$4&amp;"#"&amp;$B23,DATA!$E:$R,E$2,FALSE)</f>
        <v>9.2142427217621456</v>
      </c>
      <c r="F23" s="13">
        <f>VLOOKUP(F$4&amp;"#"&amp;$B23,DATA!$E:$R,F$2,FALSE)</f>
        <v>23.7586976009562</v>
      </c>
      <c r="G23" s="13">
        <f>VLOOKUP(G$4&amp;"#"&amp;$B23,DATA!$E:$R,G$2,FALSE)</f>
        <v>13.38</v>
      </c>
      <c r="H23" s="13">
        <f>VLOOKUP(H$4&amp;"#"&amp;$B23,DATA!$E:$R,H$2,FALSE)</f>
        <v>5.12</v>
      </c>
      <c r="I23" s="13">
        <f>VLOOKUP(I$4&amp;"#"&amp;$B23,DATA!$E:$R,I$2,FALSE)</f>
        <v>12.296465465721846</v>
      </c>
      <c r="J23" s="36"/>
      <c r="K23" s="13">
        <f>VLOOKUP(K$4&amp;"#"&amp;$B23,DATA!$E:$R,K$2,FALSE)</f>
        <v>2.96</v>
      </c>
      <c r="L23" s="13">
        <f>VLOOKUP(L$4&amp;"#"&amp;$B23,DATA!$E:$R,L$2,FALSE)</f>
        <v>5.44</v>
      </c>
      <c r="M23" s="13">
        <f>VLOOKUP(M$4&amp;"#"&amp;$B23,DATA!$E:$R,M$2,FALSE)</f>
        <v>3.6</v>
      </c>
      <c r="N23" s="36"/>
      <c r="O23" s="13">
        <f>VLOOKUP(O$4&amp;"#"&amp;$B23,DATA!$E:$R,O$2,FALSE)</f>
        <v>1.5705528045761119</v>
      </c>
      <c r="P23" s="13">
        <f>VLOOKUP(P$4&amp;"#"&amp;$B23,DATA!$E:$R,P$2,FALSE)</f>
        <v>2.6225787159566289</v>
      </c>
      <c r="Q23" s="13">
        <f>VLOOKUP(Q$4&amp;"#"&amp;$B23,DATA!$E:$R,Q$2,FALSE)</f>
        <v>0.39500000000000002</v>
      </c>
      <c r="R23" s="36"/>
      <c r="S23" s="13">
        <f>VLOOKUP(S$4&amp;"#"&amp;$B23,DATA!$E:$R,S$2,FALSE)</f>
        <v>9.1138051737385819</v>
      </c>
      <c r="T23" s="13">
        <f>VLOOKUP(T$4&amp;"#"&amp;$B23,DATA!$E:$R,T$2,FALSE)</f>
        <v>13.82080081960215</v>
      </c>
      <c r="U23" s="13">
        <f>VLOOKUP(U$4&amp;"#"&amp;$B23,DATA!$E:$R,U$2,FALSE)</f>
        <v>15.52360283445744</v>
      </c>
      <c r="V23" s="13">
        <f>VLOOKUP(V$4&amp;"#"&amp;$B23,DATA!$E:$R,V$2,FALSE)</f>
        <v>11.83</v>
      </c>
      <c r="W23" s="36"/>
      <c r="X23" s="13">
        <f>VLOOKUP(X$4&amp;"#"&amp;$B23,DATA!$E:$R,X$2,FALSE)</f>
        <v>1.0202339281140613</v>
      </c>
      <c r="Y23" s="13">
        <f>VLOOKUP(Y$4&amp;"#"&amp;$B23,DATA!$E:$R,Y$2,FALSE)</f>
        <v>0.34560744471954241</v>
      </c>
      <c r="Z23" s="13">
        <f>VLOOKUP(Z$4&amp;"#"&amp;$B23,DATA!$E:$R,Z$2,FALSE)</f>
        <v>0.56774524033125584</v>
      </c>
      <c r="AA23" s="13">
        <f>VLOOKUP(AA$4&amp;"#"&amp;$B23,DATA!$E:$R,AA$2,FALSE)</f>
        <v>1.1141466746350208</v>
      </c>
      <c r="AB23" s="13">
        <f>VLOOKUP(AB$4&amp;"#"&amp;$B23,DATA!$E:$R,AB$2,FALSE)</f>
        <v>2.8234973960556644</v>
      </c>
      <c r="AC23" s="13">
        <f>VLOOKUP(AC$4&amp;"#"&amp;$B23,DATA!$E:$R,AC$2,FALSE)</f>
        <v>1.900695808076496</v>
      </c>
      <c r="AD23" s="13">
        <f>VLOOKUP(AD$4&amp;"#"&amp;$B23,DATA!$E:$R,AD$2,FALSE)</f>
        <v>0</v>
      </c>
    </row>
    <row r="24" spans="2:30" outlineLevel="1">
      <c r="B24" s="1" t="s">
        <v>42</v>
      </c>
      <c r="D24" s="36"/>
      <c r="E24" s="13">
        <f>VLOOKUP(E$4&amp;"#"&amp;$B24,DATA!$E:$R,E$2,FALSE)</f>
        <v>0.28923631862033633</v>
      </c>
      <c r="F24" s="13">
        <f>VLOOKUP(F$4&amp;"#"&amp;$B24,DATA!$E:$R,F$2,FALSE)</f>
        <v>1.285035644156066</v>
      </c>
      <c r="G24" s="13">
        <f>VLOOKUP(G$4&amp;"#"&amp;$B24,DATA!$E:$R,G$2,FALSE)</f>
        <v>0.21299999999999999</v>
      </c>
      <c r="H24" s="13">
        <f>VLOOKUP(H$4&amp;"#"&amp;$B24,DATA!$E:$R,H$2,FALSE)</f>
        <v>0.246</v>
      </c>
      <c r="I24" s="13">
        <f>VLOOKUP(I$4&amp;"#"&amp;$B24,DATA!$E:$R,I$2,FALSE)</f>
        <v>0.94053662597114307</v>
      </c>
      <c r="J24" s="36"/>
      <c r="K24" s="13">
        <f>VLOOKUP(K$4&amp;"#"&amp;$B24,DATA!$E:$R,K$2,FALSE)</f>
        <v>5.4429999999999999E-2</v>
      </c>
      <c r="L24" s="13">
        <f>VLOOKUP(L$4&amp;"#"&amp;$B24,DATA!$E:$R,L$2,FALSE)</f>
        <v>8.4000000000000005E-2</v>
      </c>
      <c r="M24" s="13">
        <f>VLOOKUP(M$4&amp;"#"&amp;$B24,DATA!$E:$R,M$2,FALSE)</f>
        <v>0</v>
      </c>
      <c r="N24" s="36"/>
      <c r="O24" s="13">
        <f>VLOOKUP(O$4&amp;"#"&amp;$B24,DATA!$E:$R,O$2,FALSE)</f>
        <v>0</v>
      </c>
      <c r="P24" s="13">
        <f>VLOOKUP(P$4&amp;"#"&amp;$B24,DATA!$E:$R,P$2,FALSE)</f>
        <v>7.7877614616238364E-2</v>
      </c>
      <c r="Q24" s="13">
        <f>VLOOKUP(Q$4&amp;"#"&amp;$B24,DATA!$E:$R,Q$2,FALSE)</f>
        <v>0</v>
      </c>
      <c r="R24" s="36"/>
      <c r="S24" s="13">
        <f>VLOOKUP(S$4&amp;"#"&amp;$B24,DATA!$E:$R,S$2,FALSE)</f>
        <v>1.1867156151284897</v>
      </c>
      <c r="T24" s="13">
        <f>VLOOKUP(T$4&amp;"#"&amp;$B24,DATA!$E:$R,T$2,FALSE)</f>
        <v>0</v>
      </c>
      <c r="U24" s="13">
        <f>VLOOKUP(U$4&amp;"#"&amp;$B24,DATA!$E:$R,U$2,FALSE)</f>
        <v>1.1517885084948349</v>
      </c>
      <c r="V24" s="13">
        <f>VLOOKUP(V$4&amp;"#"&amp;$B24,DATA!$E:$R,V$2,FALSE)</f>
        <v>0</v>
      </c>
      <c r="W24" s="36"/>
      <c r="X24" s="13">
        <f>VLOOKUP(X$4&amp;"#"&amp;$B24,DATA!$E:$R,X$2,FALSE)</f>
        <v>0</v>
      </c>
      <c r="Y24" s="13">
        <f>VLOOKUP(Y$4&amp;"#"&amp;$B24,DATA!$E:$R,Y$2,FALSE)</f>
        <v>5.9549218816699386E-3</v>
      </c>
      <c r="Z24" s="13">
        <f>VLOOKUP(Z$4&amp;"#"&amp;$B24,DATA!$E:$R,Z$2,FALSE)</f>
        <v>0</v>
      </c>
      <c r="AA24" s="13">
        <f>VLOOKUP(AA$4&amp;"#"&amp;$B24,DATA!$E:$R,AA$2,FALSE)</f>
        <v>0.10751301972167678</v>
      </c>
      <c r="AB24" s="13">
        <f>VLOOKUP(AB$4&amp;"#"&amp;$B24,DATA!$E:$R,AB$2,FALSE)</f>
        <v>0.11722334798941347</v>
      </c>
      <c r="AC24" s="13">
        <f>VLOOKUP(AC$4&amp;"#"&amp;$B24,DATA!$E:$R,AC$2,FALSE)</f>
        <v>0.18731494920174166</v>
      </c>
      <c r="AD24" s="13">
        <f>VLOOKUP(AD$4&amp;"#"&amp;$B24,DATA!$E:$R,AD$2,FALSE)</f>
        <v>0</v>
      </c>
    </row>
    <row r="25" spans="2:30" outlineLevel="1">
      <c r="B25" s="1" t="s">
        <v>44</v>
      </c>
      <c r="D25" s="36"/>
      <c r="E25" s="13">
        <f>VLOOKUP(E$4&amp;"#"&amp;$B25,DATA!$E:$R,E$2,FALSE)</f>
        <v>2.9887752924101423</v>
      </c>
      <c r="F25" s="13">
        <f>VLOOKUP(F$4&amp;"#"&amp;$B25,DATA!$E:$R,F$2,FALSE)</f>
        <v>2.0797468624605138</v>
      </c>
      <c r="G25" s="13">
        <f>VLOOKUP(G$4&amp;"#"&amp;$B25,DATA!$E:$R,G$2,FALSE)</f>
        <v>0.82899999999999996</v>
      </c>
      <c r="H25" s="13">
        <f>VLOOKUP(H$4&amp;"#"&amp;$B25,DATA!$E:$R,H$2,FALSE)</f>
        <v>0.33400000000000002</v>
      </c>
      <c r="I25" s="13">
        <f>VLOOKUP(I$4&amp;"#"&amp;$B25,DATA!$E:$R,I$2,FALSE)</f>
        <v>0.21895334244002387</v>
      </c>
      <c r="J25" s="36"/>
      <c r="K25" s="13">
        <f>VLOOKUP(K$4&amp;"#"&amp;$B25,DATA!$E:$R,K$2,FALSE)</f>
        <v>0.54564999999999997</v>
      </c>
      <c r="L25" s="13">
        <f>VLOOKUP(L$4&amp;"#"&amp;$B25,DATA!$E:$R,L$2,FALSE)</f>
        <v>1.19</v>
      </c>
      <c r="M25" s="13">
        <f>VLOOKUP(M$4&amp;"#"&amp;$B25,DATA!$E:$R,M$2,FALSE)</f>
        <v>0.62429999999999997</v>
      </c>
      <c r="N25" s="36"/>
      <c r="O25" s="13">
        <f>VLOOKUP(O$4&amp;"#"&amp;$B25,DATA!$E:$R,O$2,FALSE)</f>
        <v>1.5508033381712624E-2</v>
      </c>
      <c r="P25" s="13">
        <f>VLOOKUP(P$4&amp;"#"&amp;$B25,DATA!$E:$R,P$2,FALSE)</f>
        <v>6.3674720396141027E-2</v>
      </c>
      <c r="Q25" s="13">
        <f>VLOOKUP(Q$4&amp;"#"&amp;$B25,DATA!$E:$R,Q$2,FALSE)</f>
        <v>6.8400000000000002E-2</v>
      </c>
      <c r="R25" s="36"/>
      <c r="S25" s="13">
        <f>VLOOKUP(S$4&amp;"#"&amp;$B25,DATA!$E:$R,S$2,FALSE)</f>
        <v>1.4428412874583796</v>
      </c>
      <c r="T25" s="13">
        <f>VLOOKUP(T$4&amp;"#"&amp;$B25,DATA!$E:$R,T$2,FALSE)</f>
        <v>1.1295694220097328</v>
      </c>
      <c r="U25" s="13">
        <f>VLOOKUP(U$4&amp;"#"&amp;$B25,DATA!$E:$R,U$2,FALSE)</f>
        <v>1.7358661316485957</v>
      </c>
      <c r="V25" s="13">
        <f>VLOOKUP(V$4&amp;"#"&amp;$B25,DATA!$E:$R,V$2,FALSE)</f>
        <v>0.13200000000000001</v>
      </c>
      <c r="W25" s="36"/>
      <c r="X25" s="13">
        <f>VLOOKUP(X$4&amp;"#"&amp;$B25,DATA!$E:$R,X$2,FALSE)</f>
        <v>1.5709041236233245</v>
      </c>
      <c r="Y25" s="13">
        <f>VLOOKUP(Y$4&amp;"#"&amp;$B25,DATA!$E:$R,Y$2,FALSE)</f>
        <v>0.10124220951079996</v>
      </c>
      <c r="Z25" s="13">
        <f>VLOOKUP(Z$4&amp;"#"&amp;$B25,DATA!$E:$R,Z$2,FALSE)</f>
        <v>1.0714590625800391</v>
      </c>
      <c r="AA25" s="13">
        <f>VLOOKUP(AA$4&amp;"#"&amp;$B25,DATA!$E:$R,AA$2,FALSE)</f>
        <v>0.3847306411679331</v>
      </c>
      <c r="AB25" s="13">
        <f>VLOOKUP(AB$4&amp;"#"&amp;$B25,DATA!$E:$R,AB$2,FALSE)</f>
        <v>1.9557884401946553</v>
      </c>
      <c r="AC25" s="13">
        <f>VLOOKUP(AC$4&amp;"#"&amp;$B25,DATA!$E:$R,AC$2,FALSE)</f>
        <v>1.6252326474856995</v>
      </c>
      <c r="AD25" s="13">
        <f>VLOOKUP(AD$4&amp;"#"&amp;$B25,DATA!$E:$R,AD$2,FALSE)</f>
        <v>0.42728758131990091</v>
      </c>
    </row>
    <row r="26" spans="2:30" outlineLevel="1">
      <c r="B26" s="1" t="s">
        <v>46</v>
      </c>
      <c r="D26" s="36"/>
      <c r="E26" s="13">
        <f>VLOOKUP(E$4&amp;"#"&amp;$B26,DATA!$E:$R,E$2,FALSE)</f>
        <v>1.2685078545206181</v>
      </c>
      <c r="F26" s="13">
        <f>VLOOKUP(F$4&amp;"#"&amp;$B26,DATA!$E:$R,F$2,FALSE)</f>
        <v>12.175471698113206</v>
      </c>
      <c r="G26" s="13">
        <f>VLOOKUP(G$4&amp;"#"&amp;$B26,DATA!$E:$R,G$2,FALSE)</f>
        <v>7</v>
      </c>
      <c r="H26" s="13">
        <f>VLOOKUP(H$4&amp;"#"&amp;$B26,DATA!$E:$R,H$2,FALSE)</f>
        <v>7.46</v>
      </c>
      <c r="I26" s="13">
        <f>VLOOKUP(I$4&amp;"#"&amp;$B26,DATA!$E:$R,I$2,FALSE)</f>
        <v>13.345001280628361</v>
      </c>
      <c r="J26" s="36"/>
      <c r="K26" s="13">
        <f>VLOOKUP(K$4&amp;"#"&amp;$B26,DATA!$E:$R,K$2,FALSE)</f>
        <v>2</v>
      </c>
      <c r="L26" s="13">
        <f>VLOOKUP(L$4&amp;"#"&amp;$B26,DATA!$E:$R,L$2,FALSE)</f>
        <v>5.13</v>
      </c>
      <c r="M26" s="13">
        <f>VLOOKUP(M$4&amp;"#"&amp;$B26,DATA!$E:$R,M$2,FALSE)</f>
        <v>5.48</v>
      </c>
      <c r="N26" s="36"/>
      <c r="O26" s="13">
        <f>VLOOKUP(O$4&amp;"#"&amp;$B26,DATA!$E:$R,O$2,FALSE)</f>
        <v>1.8432835311192692</v>
      </c>
      <c r="P26" s="13">
        <f>VLOOKUP(P$4&amp;"#"&amp;$B26,DATA!$E:$R,P$2,FALSE)</f>
        <v>2.6870160078545204</v>
      </c>
      <c r="Q26" s="13">
        <f>VLOOKUP(Q$4&amp;"#"&amp;$B26,DATA!$E:$R,Q$2,FALSE)</f>
        <v>0.61009999999999998</v>
      </c>
      <c r="R26" s="36"/>
      <c r="S26" s="13">
        <f>VLOOKUP(S$4&amp;"#"&amp;$B26,DATA!$E:$R,S$2,FALSE)</f>
        <v>11.551267822078032</v>
      </c>
      <c r="T26" s="13">
        <f>VLOOKUP(T$4&amp;"#"&amp;$B26,DATA!$E:$R,T$2,FALSE)</f>
        <v>28.583928967813538</v>
      </c>
      <c r="U26" s="13">
        <f>VLOOKUP(U$4&amp;"#"&amp;$B26,DATA!$E:$R,U$2,FALSE)</f>
        <v>27.839986339964142</v>
      </c>
      <c r="V26" s="13">
        <f>VLOOKUP(V$4&amp;"#"&amp;$B26,DATA!$E:$R,V$2,FALSE)</f>
        <v>57.71</v>
      </c>
      <c r="W26" s="36"/>
      <c r="X26" s="13">
        <f>VLOOKUP(X$4&amp;"#"&amp;$B26,DATA!$E:$R,X$2,FALSE)</f>
        <v>5.9762656876974303</v>
      </c>
      <c r="Y26" s="13">
        <f>VLOOKUP(Y$4&amp;"#"&amp;$B26,DATA!$E:$R,Y$2,FALSE)</f>
        <v>-0.16030478955007255</v>
      </c>
      <c r="Z26" s="13">
        <f>VLOOKUP(Z$4&amp;"#"&amp;$B26,DATA!$E:$R,Z$2,FALSE)</f>
        <v>0.19210279176982839</v>
      </c>
      <c r="AA26" s="13">
        <f>VLOOKUP(AA$4&amp;"#"&amp;$B26,DATA!$E:$R,AA$2,FALSE)</f>
        <v>0.59762656876974296</v>
      </c>
      <c r="AB26" s="13">
        <f>VLOOKUP(AB$4&amp;"#"&amp;$B26,DATA!$E:$R,AB$2,FALSE)</f>
        <v>-1.9833347562537351</v>
      </c>
      <c r="AC26" s="13">
        <f>VLOOKUP(AC$4&amp;"#"&amp;$B26,DATA!$E:$R,AC$2,FALSE)</f>
        <v>1.3483921710919491</v>
      </c>
      <c r="AD26" s="13">
        <f>VLOOKUP(AD$4&amp;"#"&amp;$B26,DATA!$E:$R,AD$2,FALSE)</f>
        <v>1.6203235755143857</v>
      </c>
    </row>
    <row r="27" spans="2:30" outlineLevel="1">
      <c r="B27" s="14" t="s">
        <v>48</v>
      </c>
      <c r="C27" s="15"/>
      <c r="D27" s="37"/>
      <c r="E27" s="16">
        <f>VLOOKUP(E$4&amp;"#"&amp;$B27,DATA!$E:$R,E$2,FALSE)</f>
        <v>1.2450934858704004</v>
      </c>
      <c r="F27" s="16">
        <f>VLOOKUP(F$4&amp;"#"&amp;$B27,DATA!$E:$R,F$2,FALSE)</f>
        <v>12.492254332792623</v>
      </c>
      <c r="G27" s="16">
        <f>VLOOKUP(G$4&amp;"#"&amp;$B27,DATA!$E:$R,G$2,FALSE)</f>
        <v>7.16</v>
      </c>
      <c r="H27" s="16">
        <f>VLOOKUP(H$4&amp;"#"&amp;$B27,DATA!$E:$R,H$2,FALSE)</f>
        <v>5.35</v>
      </c>
      <c r="I27" s="16">
        <f>VLOOKUP(I$4&amp;"#"&amp;$B27,DATA!$E:$R,I$2,FALSE)</f>
        <v>9.1714474515495592</v>
      </c>
      <c r="J27" s="37"/>
      <c r="K27" s="16">
        <f>VLOOKUP(K$4&amp;"#"&amp;$B27,DATA!$E:$R,K$2,FALSE)</f>
        <v>1.05</v>
      </c>
      <c r="L27" s="16">
        <f>VLOOKUP(L$4&amp;"#"&amp;$B27,DATA!$E:$R,L$2,FALSE)</f>
        <v>3.79</v>
      </c>
      <c r="M27" s="16">
        <f>VLOOKUP(M$4&amp;"#"&amp;$B27,DATA!$E:$R,M$2,FALSE)</f>
        <v>3.54</v>
      </c>
      <c r="N27" s="37"/>
      <c r="O27" s="16">
        <f>VLOOKUP(O$4&amp;"#"&amp;$B27,DATA!$E:$R,O$2,FALSE)</f>
        <v>1.5141257577051142</v>
      </c>
      <c r="P27" s="16">
        <f>VLOOKUP(P$4&amp;"#"&amp;$B27,DATA!$E:$R,P$2,FALSE)</f>
        <v>1.7317998804746861</v>
      </c>
      <c r="Q27" s="16">
        <f>VLOOKUP(Q$4&amp;"#"&amp;$B27,DATA!$E:$R,Q$2,FALSE)</f>
        <v>0.43139999999999995</v>
      </c>
      <c r="R27" s="37"/>
      <c r="S27" s="16">
        <f>VLOOKUP(S$4&amp;"#"&amp;$B27,DATA!$E:$R,S$2,FALSE)</f>
        <v>10.061470161359173</v>
      </c>
      <c r="T27" s="16">
        <f>VLOOKUP(T$4&amp;"#"&amp;$B27,DATA!$E:$R,T$2,FALSE)</f>
        <v>24.798087594979936</v>
      </c>
      <c r="U27" s="16">
        <f>VLOOKUP(U$4&amp;"#"&amp;$B27,DATA!$E:$R,U$2,FALSE)</f>
        <v>17.309065141295996</v>
      </c>
      <c r="V27" s="16">
        <f>VLOOKUP(V$4&amp;"#"&amp;$B27,DATA!$E:$R,V$2,FALSE)</f>
        <v>32.58</v>
      </c>
      <c r="W27" s="37"/>
      <c r="X27" s="16">
        <f>VLOOKUP(X$4&amp;"#"&amp;$B27,DATA!$E:$R,X$2,FALSE)</f>
        <v>5.0798258345428157E-2</v>
      </c>
      <c r="Y27" s="16">
        <f>VLOOKUP(Y$4&amp;"#"&amp;$B27,DATA!$E:$R,Y$2,FALSE)</f>
        <v>-6.0479808759497995E-2</v>
      </c>
      <c r="Z27" s="16">
        <f>VLOOKUP(Z$4&amp;"#"&amp;$B27,DATA!$E:$R,Z$2,FALSE)</f>
        <v>0.22794757961239648</v>
      </c>
      <c r="AA27" s="16">
        <f>VLOOKUP(AA$4&amp;"#"&amp;$B27,DATA!$E:$R,AA$2,FALSE)</f>
        <v>0.67446427046871005</v>
      </c>
      <c r="AB27" s="16">
        <f>VLOOKUP(AB$4&amp;"#"&amp;$B27,DATA!$E:$R,AB$2,FALSE)</f>
        <v>-2.6444463416716468</v>
      </c>
      <c r="AC27" s="16">
        <f>VLOOKUP(AC$4&amp;"#"&amp;$B27,DATA!$E:$R,AC$2,FALSE)</f>
        <v>0.76441027063946043</v>
      </c>
      <c r="AD27" s="16">
        <f>VLOOKUP(AD$4&amp;"#"&amp;$B27,DATA!$E:$R,AD$2,FALSE)</f>
        <v>-1.016407482284641</v>
      </c>
    </row>
    <row r="28" spans="2:30" outlineLevel="1">
      <c r="B28" s="14" t="s">
        <v>50</v>
      </c>
      <c r="C28" s="15"/>
      <c r="D28" s="37"/>
      <c r="E28" s="16">
        <f>VLOOKUP(E$4&amp;"#"&amp;$B28,DATA!$E:$R,E$2,FALSE)</f>
        <v>10.908341159395542</v>
      </c>
      <c r="F28" s="16">
        <f>VLOOKUP(F$4&amp;"#"&amp;$B28,DATA!$E:$R,F$2,FALSE)</f>
        <v>31.981272944591478</v>
      </c>
      <c r="G28" s="16">
        <f>VLOOKUP(G$4&amp;"#"&amp;$B28,DATA!$E:$R,G$2,FALSE)</f>
        <v>12.25</v>
      </c>
      <c r="H28" s="16">
        <f>VLOOKUP(H$4&amp;"#"&amp;$B28,DATA!$E:$R,H$2,FALSE)</f>
        <v>16.22</v>
      </c>
      <c r="I28" s="16">
        <f>VLOOKUP(I$4&amp;"#"&amp;$B28,DATA!$E:$R,I$2,FALSE)</f>
        <v>24.211645180568595</v>
      </c>
      <c r="J28" s="37"/>
      <c r="K28" s="16">
        <f>VLOOKUP(K$4&amp;"#"&amp;$B28,DATA!$E:$R,K$2,FALSE)</f>
        <v>3.72</v>
      </c>
      <c r="L28" s="16">
        <f>VLOOKUP(L$4&amp;"#"&amp;$B28,DATA!$E:$R,L$2,FALSE)</f>
        <v>9.76</v>
      </c>
      <c r="M28" s="16">
        <f>VLOOKUP(M$4&amp;"#"&amp;$B28,DATA!$E:$R,M$2,FALSE)</f>
        <v>7.32</v>
      </c>
      <c r="N28" s="37"/>
      <c r="O28" s="16">
        <f>VLOOKUP(O$4&amp;"#"&amp;$B28,DATA!$E:$R,O$2,FALSE)</f>
        <v>2.8401613591735679</v>
      </c>
      <c r="P28" s="16">
        <f>VLOOKUP(P$4&amp;"#"&amp;$B28,DATA!$E:$R,P$2,FALSE)</f>
        <v>4.2308420131477842</v>
      </c>
      <c r="Q28" s="16">
        <f>VLOOKUP(Q$4&amp;"#"&amp;$B28,DATA!$E:$R,Q$2,FALSE)</f>
        <v>1.07</v>
      </c>
      <c r="R28" s="37"/>
      <c r="S28" s="16">
        <f>VLOOKUP(S$4&amp;"#"&amp;$B28,DATA!$E:$R,S$2,FALSE)</f>
        <v>24.810040126355329</v>
      </c>
      <c r="T28" s="16">
        <f>VLOOKUP(T$4&amp;"#"&amp;$B28,DATA!$E:$R,T$2,FALSE)</f>
        <v>31.410910953641253</v>
      </c>
      <c r="U28" s="16">
        <f>VLOOKUP(U$4&amp;"#"&amp;$B28,DATA!$E:$R,U$2,FALSE)</f>
        <v>51.166720737641931</v>
      </c>
      <c r="V28" s="16">
        <f>VLOOKUP(V$4&amp;"#"&amp;$B28,DATA!$E:$R,V$2,FALSE)</f>
        <v>60.95</v>
      </c>
      <c r="W28" s="37"/>
      <c r="X28" s="16">
        <f>VLOOKUP(X$4&amp;"#"&amp;$B28,DATA!$E:$R,X$2,FALSE)</f>
        <v>20.434559890719711</v>
      </c>
      <c r="Y28" s="16">
        <f>VLOOKUP(Y$4&amp;"#"&amp;$B28,DATA!$E:$R,Y$2,FALSE)</f>
        <v>0.62323913600273195</v>
      </c>
      <c r="Z28" s="16">
        <f>VLOOKUP(Z$4&amp;"#"&amp;$B28,DATA!$E:$R,Z$2,FALSE)</f>
        <v>1.9721676769401519</v>
      </c>
      <c r="AA28" s="16">
        <f>VLOOKUP(AA$4&amp;"#"&amp;$B28,DATA!$E:$R,AA$2,FALSE)</f>
        <v>1.8270297959532145</v>
      </c>
      <c r="AB28" s="16">
        <f>VLOOKUP(AB$4&amp;"#"&amp;$B28,DATA!$E:$R,AB$2,FALSE)</f>
        <v>6.1152821651156835</v>
      </c>
      <c r="AC28" s="16">
        <f>VLOOKUP(AC$4&amp;"#"&amp;$B28,DATA!$E:$R,AC$2,FALSE)</f>
        <v>4.2696789891573461</v>
      </c>
      <c r="AD28" s="16">
        <f>VLOOKUP(AD$4&amp;"#"&amp;$B28,DATA!$E:$R,AD$2,FALSE)</f>
        <v>0</v>
      </c>
    </row>
    <row r="29" spans="2:30" outlineLevel="1">
      <c r="D29" s="36"/>
      <c r="E29" s="13"/>
      <c r="F29" s="13"/>
      <c r="G29" s="13"/>
      <c r="H29" s="13"/>
      <c r="I29" s="13"/>
      <c r="J29" s="36"/>
      <c r="K29" s="13"/>
      <c r="L29" s="13"/>
      <c r="M29" s="13"/>
      <c r="N29" s="36"/>
      <c r="O29" s="13"/>
      <c r="P29" s="13"/>
      <c r="Q29" s="13"/>
      <c r="R29" s="36"/>
      <c r="S29" s="13"/>
      <c r="T29" s="13"/>
      <c r="U29" s="13"/>
      <c r="V29" s="13"/>
      <c r="W29" s="36"/>
      <c r="X29" s="13"/>
      <c r="Y29" s="13"/>
      <c r="Z29" s="13"/>
      <c r="AA29" s="13"/>
      <c r="AB29" s="13"/>
      <c r="AC29" s="13"/>
      <c r="AD29" s="13"/>
    </row>
    <row r="30" spans="2:30" outlineLevel="1">
      <c r="E30" s="29" t="s">
        <v>112</v>
      </c>
      <c r="F30" s="30"/>
      <c r="G30" s="30"/>
      <c r="H30" s="30"/>
      <c r="I30" s="31"/>
      <c r="K30" s="29" t="s">
        <v>113</v>
      </c>
      <c r="L30" s="30"/>
      <c r="M30" s="31"/>
      <c r="O30" s="29" t="s">
        <v>114</v>
      </c>
      <c r="P30" s="30"/>
      <c r="Q30" s="31"/>
      <c r="S30" s="29" t="s">
        <v>115</v>
      </c>
      <c r="T30" s="30"/>
      <c r="U30" s="30"/>
      <c r="V30" s="31"/>
      <c r="X30" s="29" t="s">
        <v>116</v>
      </c>
      <c r="Y30" s="32"/>
      <c r="Z30" s="32"/>
      <c r="AA30" s="32"/>
      <c r="AB30" s="32"/>
      <c r="AC30" s="32"/>
      <c r="AD30" s="33"/>
    </row>
    <row r="31" spans="2:30" outlineLevel="1">
      <c r="B31" s="8">
        <f>B4</f>
        <v>2013</v>
      </c>
      <c r="C31" s="17" t="str">
        <f>C4</f>
        <v>Formula</v>
      </c>
      <c r="D31" s="38"/>
      <c r="E31" s="17" t="str">
        <f>E4</f>
        <v>FIAT</v>
      </c>
      <c r="F31" s="17" t="str">
        <f>F4</f>
        <v>VOLKS</v>
      </c>
      <c r="G31" s="17" t="str">
        <f>G4</f>
        <v>FORD</v>
      </c>
      <c r="H31" s="17" t="str">
        <f>H4</f>
        <v>GMC</v>
      </c>
      <c r="I31" s="17" t="str">
        <f>I4</f>
        <v>TOYOTA</v>
      </c>
      <c r="J31" s="38"/>
      <c r="K31" s="17" t="str">
        <f>K4</f>
        <v>CNHI</v>
      </c>
      <c r="L31" s="17" t="str">
        <f>L4</f>
        <v>CAT</v>
      </c>
      <c r="M31" s="17" t="str">
        <f>M4</f>
        <v>DEERE</v>
      </c>
      <c r="N31" s="38"/>
      <c r="O31" s="17" t="str">
        <f>O4</f>
        <v>MAGNA</v>
      </c>
      <c r="P31" s="17" t="str">
        <f>P4</f>
        <v>DENSO</v>
      </c>
      <c r="Q31" s="17" t="str">
        <f>Q4</f>
        <v>LEAR</v>
      </c>
      <c r="R31" s="38"/>
      <c r="S31" s="17" t="str">
        <f>S4</f>
        <v>PETR</v>
      </c>
      <c r="T31" s="17" t="str">
        <f>T4</f>
        <v>BP-OIL</v>
      </c>
      <c r="U31" s="17" t="str">
        <f>U4</f>
        <v>SHELL</v>
      </c>
      <c r="V31" s="17" t="str">
        <f>V4</f>
        <v>EXXOM</v>
      </c>
      <c r="W31" s="38"/>
      <c r="X31" s="17" t="str">
        <f t="shared" ref="X31:AD31" si="6">X4</f>
        <v>VALE</v>
      </c>
      <c r="Y31" s="17" t="str">
        <f t="shared" si="6"/>
        <v>USIM</v>
      </c>
      <c r="Z31" s="17" t="str">
        <f t="shared" si="6"/>
        <v>CSN</v>
      </c>
      <c r="AA31" s="17" t="str">
        <f t="shared" si="6"/>
        <v>GERDAU</v>
      </c>
      <c r="AB31" s="17" t="str">
        <f t="shared" si="6"/>
        <v>ARCELOR</v>
      </c>
      <c r="AC31" s="17" t="str">
        <f t="shared" si="6"/>
        <v>LAFARGE</v>
      </c>
      <c r="AD31" s="17" t="str">
        <f t="shared" si="6"/>
        <v>ANGLO</v>
      </c>
    </row>
    <row r="32" spans="2:30">
      <c r="B32" s="1" t="s">
        <v>51</v>
      </c>
      <c r="C32" s="2" t="s">
        <v>52</v>
      </c>
      <c r="D32" s="39"/>
      <c r="E32" s="19">
        <f>E9/E13</f>
        <v>1.1641391614629795</v>
      </c>
      <c r="F32" s="19">
        <f>F9/F13</f>
        <v>1.0300092725280283</v>
      </c>
      <c r="G32" s="19">
        <f>G9/G13</f>
        <v>1.7751247807905033</v>
      </c>
      <c r="H32" s="19">
        <f>H9/H13</f>
        <v>1.3058804678737383</v>
      </c>
      <c r="I32" s="19">
        <f>I9/I13</f>
        <v>1.0673896204492641</v>
      </c>
      <c r="J32" s="39"/>
      <c r="K32" s="19">
        <f>K9/K13</f>
        <v>1.7632743362831858</v>
      </c>
      <c r="L32" s="19">
        <f>L9/L13</f>
        <v>1.4043956043956045</v>
      </c>
      <c r="M32" s="19">
        <f>M9/M13</f>
        <v>0.69699727024567792</v>
      </c>
      <c r="N32" s="39"/>
      <c r="O32" s="19">
        <f>O9/O13</f>
        <v>1.3564993564993564</v>
      </c>
      <c r="P32" s="19">
        <f>P9/P13</f>
        <v>2.3419444301782137</v>
      </c>
      <c r="Q32" s="19">
        <f>Q9/Q13</f>
        <v>1.3743016759776536</v>
      </c>
      <c r="R32" s="39"/>
      <c r="S32" s="19">
        <f>S9/S13</f>
        <v>1.4946080213255784</v>
      </c>
      <c r="T32" s="19">
        <f>T9/T13</f>
        <v>1.3300727934485894</v>
      </c>
      <c r="U32" s="19">
        <f>U9/U13</f>
        <v>1.1081513052743739</v>
      </c>
      <c r="V32" s="19">
        <f>V9/V13</f>
        <v>0.8269659788064696</v>
      </c>
      <c r="W32" s="39"/>
      <c r="X32" s="19">
        <f t="shared" ref="X32:AD32" si="7">X9/X13</f>
        <v>2.2487191429902187</v>
      </c>
      <c r="Y32" s="19">
        <f t="shared" si="7"/>
        <v>1.8585461689587426</v>
      </c>
      <c r="Z32" s="19">
        <f t="shared" si="7"/>
        <v>2.949640287769784</v>
      </c>
      <c r="AA32" s="19">
        <f t="shared" si="7"/>
        <v>2.5110497237569058</v>
      </c>
      <c r="AB32" s="19">
        <f t="shared" si="7"/>
        <v>1.353358820316767</v>
      </c>
      <c r="AC32" s="19">
        <f t="shared" si="7"/>
        <v>1.1107913669064746</v>
      </c>
      <c r="AD32" s="19">
        <f t="shared" si="7"/>
        <v>1.9365079365079361</v>
      </c>
    </row>
    <row r="33" spans="2:30">
      <c r="B33" s="1" t="s">
        <v>53</v>
      </c>
      <c r="C33" s="2" t="s">
        <v>54</v>
      </c>
      <c r="D33" s="39"/>
      <c r="E33" s="19">
        <f>(E9-E8)/E13</f>
        <v>0.85994647636039245</v>
      </c>
      <c r="F33" s="19">
        <f>(F9-F8)/F13</f>
        <v>0.78850206524487909</v>
      </c>
      <c r="G33" s="19">
        <f>(G9-G8)/G13</f>
        <v>1.6711183056792125</v>
      </c>
      <c r="H33" s="19">
        <f>(H9-H8)/H13</f>
        <v>1.0809165197884956</v>
      </c>
      <c r="I33" s="19">
        <f>(I9-I8)/I13</f>
        <v>0.93415956622773044</v>
      </c>
      <c r="J33" s="39"/>
      <c r="K33" s="19">
        <f>(K9-K8)/K13</f>
        <v>1.4300884955752211</v>
      </c>
      <c r="L33" s="19">
        <f>(L9-L8)/L13</f>
        <v>0.94175824175824174</v>
      </c>
      <c r="M33" s="19">
        <f>(M9-M8)/M13</f>
        <v>0.47270245677888989</v>
      </c>
      <c r="N33" s="39"/>
      <c r="O33" s="19">
        <f>(O9-O8)/O13</f>
        <v>0.99613899613899604</v>
      </c>
      <c r="P33" s="19">
        <f>(P9-P8)/P13</f>
        <v>1.9612141132966976</v>
      </c>
      <c r="Q33" s="19">
        <f>(Q9-Q8)/Q13</f>
        <v>1.1456145251396648</v>
      </c>
      <c r="R33" s="39"/>
      <c r="S33" s="19">
        <f>(S9-S8)/S13</f>
        <v>1.0714891554586208</v>
      </c>
      <c r="T33" s="19">
        <f>(T9-T8)/T13</f>
        <v>0.92857142857142849</v>
      </c>
      <c r="U33" s="19">
        <f>(U9-U8)/U13</f>
        <v>1.1081513052743739</v>
      </c>
      <c r="V33" s="19">
        <f>(V9-V8)/V13</f>
        <v>0.60192414947016182</v>
      </c>
      <c r="W33" s="39"/>
      <c r="X33" s="19">
        <f t="shared" ref="X33:AD33" si="8">(X9-X8)/X13</f>
        <v>1.7987890079180253</v>
      </c>
      <c r="Y33" s="19">
        <f t="shared" si="8"/>
        <v>1.1001964636542241</v>
      </c>
      <c r="Z33" s="19">
        <f t="shared" si="8"/>
        <v>2.3812949640287768</v>
      </c>
      <c r="AA33" s="19">
        <f t="shared" si="8"/>
        <v>1.3370165745856353</v>
      </c>
      <c r="AB33" s="19">
        <f t="shared" si="8"/>
        <v>0.59093391589295485</v>
      </c>
      <c r="AC33" s="19">
        <f t="shared" si="8"/>
        <v>0.87769784172661858</v>
      </c>
      <c r="AD33" s="19">
        <f t="shared" si="8"/>
        <v>1.3630952380952377</v>
      </c>
    </row>
    <row r="34" spans="2:30">
      <c r="B34" s="1" t="s">
        <v>55</v>
      </c>
      <c r="C34" s="2" t="s">
        <v>56</v>
      </c>
      <c r="D34" s="39"/>
      <c r="E34" s="19">
        <f>E6/E13</f>
        <v>0.60214094558429976</v>
      </c>
      <c r="F34" s="19">
        <f>F6/F13</f>
        <v>0.29950265531484449</v>
      </c>
      <c r="G34" s="19">
        <f>G6/G13</f>
        <v>0.49332254148118176</v>
      </c>
      <c r="H34" s="19">
        <f>H6/H13</f>
        <v>0.4845377343374459</v>
      </c>
      <c r="I34" s="19">
        <f>I6/I13</f>
        <v>0.25329202168861348</v>
      </c>
      <c r="J34" s="39"/>
      <c r="K34" s="19">
        <f>K6/K13</f>
        <v>0.2982300884955752</v>
      </c>
      <c r="L34" s="19">
        <f>L6/L13</f>
        <v>0.22454212454212452</v>
      </c>
      <c r="M34" s="19">
        <f>M6/M13</f>
        <v>0.23339399454049134</v>
      </c>
      <c r="N34" s="39"/>
      <c r="O34" s="19">
        <f>O6/O13</f>
        <v>0.21235521235521235</v>
      </c>
      <c r="P34" s="19">
        <f>P6/P13</f>
        <v>1.1298854707000154</v>
      </c>
      <c r="Q34" s="19">
        <f>Q6/Q13</f>
        <v>0.31843575418994408</v>
      </c>
      <c r="R34" s="39"/>
      <c r="S34" s="19">
        <f>S6/S13</f>
        <v>0.56064461407972854</v>
      </c>
      <c r="T34" s="19">
        <f>T6/T13</f>
        <v>0.35236578707916283</v>
      </c>
      <c r="U34" s="19">
        <f>U6/U13</f>
        <v>0.10388918486947256</v>
      </c>
      <c r="V34" s="19">
        <f>V6/V13</f>
        <v>6.8460680423870615E-2</v>
      </c>
      <c r="W34" s="39"/>
      <c r="X34" s="19">
        <f t="shared" ref="X34:AD34" si="9">X6/X13</f>
        <v>0.60270144387517466</v>
      </c>
      <c r="Y34" s="19">
        <f t="shared" si="9"/>
        <v>0.68958742632612968</v>
      </c>
      <c r="Z34" s="19">
        <f t="shared" si="9"/>
        <v>1.7985611510791368</v>
      </c>
      <c r="AA34" s="19">
        <f t="shared" si="9"/>
        <v>0.58287292817679548</v>
      </c>
      <c r="AB34" s="19">
        <f t="shared" si="9"/>
        <v>0.24959038776624798</v>
      </c>
      <c r="AC34" s="19">
        <f t="shared" si="9"/>
        <v>0.48201438848920858</v>
      </c>
      <c r="AD34" s="19">
        <f t="shared" si="9"/>
        <v>0.92460317460317454</v>
      </c>
    </row>
    <row r="35" spans="2:30">
      <c r="D35" s="39"/>
      <c r="E35" s="19"/>
      <c r="F35" s="19"/>
      <c r="G35" s="19"/>
      <c r="H35" s="19"/>
      <c r="I35" s="19"/>
      <c r="J35" s="39"/>
      <c r="K35" s="19"/>
      <c r="L35" s="19"/>
      <c r="M35" s="19"/>
      <c r="N35" s="39"/>
      <c r="O35" s="19"/>
      <c r="P35" s="19"/>
      <c r="Q35" s="19"/>
      <c r="R35" s="39"/>
      <c r="S35" s="19"/>
      <c r="T35" s="19"/>
      <c r="U35" s="19"/>
      <c r="V35" s="19"/>
      <c r="W35" s="39"/>
      <c r="X35" s="19"/>
      <c r="Y35" s="19"/>
      <c r="Z35" s="19"/>
      <c r="AA35" s="19"/>
      <c r="AB35" s="19"/>
      <c r="AC35" s="19"/>
      <c r="AD35" s="19"/>
    </row>
    <row r="36" spans="2:30">
      <c r="B36" s="1" t="s">
        <v>57</v>
      </c>
      <c r="C36" s="2" t="s">
        <v>58</v>
      </c>
      <c r="D36" s="39"/>
      <c r="E36" s="19">
        <f>E9-E13</f>
        <v>7.6027832323059812</v>
      </c>
      <c r="F36" s="19">
        <f>F9-F13</f>
        <v>4.9032442585161675</v>
      </c>
      <c r="G36" s="19">
        <f>G9-G13</f>
        <v>57.460000000000008</v>
      </c>
      <c r="H36" s="19">
        <f>H9-H13</f>
        <v>19.090000000000003</v>
      </c>
      <c r="I36" s="19">
        <f>I9-I13</f>
        <v>8.2929650815333389</v>
      </c>
      <c r="J36" s="39"/>
      <c r="K36" s="19">
        <f>K9-K13</f>
        <v>17.25</v>
      </c>
      <c r="L36" s="19">
        <f>L9-L13</f>
        <v>11.040000000000003</v>
      </c>
      <c r="M36" s="19">
        <f>M9-M13</f>
        <v>-6.66</v>
      </c>
      <c r="N36" s="39"/>
      <c r="O36" s="19">
        <f>O9-O13</f>
        <v>2.6050486638777421</v>
      </c>
      <c r="P36" s="19">
        <f>P9-P13</f>
        <v>12.453269230769228</v>
      </c>
      <c r="Q36" s="19">
        <f>Q9-Q13</f>
        <v>1.3399999999999999</v>
      </c>
      <c r="R36" s="39"/>
      <c r="S36" s="19">
        <f>S9-S13</f>
        <v>17.425083240843499</v>
      </c>
      <c r="T36" s="19">
        <f>T9-T13</f>
        <v>23.988016733543915</v>
      </c>
      <c r="U36" s="19">
        <f>U9-U13</f>
        <v>10.068023563561852</v>
      </c>
      <c r="V36" s="19">
        <f>V9-V13</f>
        <v>-12.409999999999997</v>
      </c>
      <c r="W36" s="39"/>
      <c r="X36" s="19">
        <f t="shared" ref="X36:AD36" si="10">X9-X13</f>
        <v>11.444548791940578</v>
      </c>
      <c r="Y36" s="19">
        <f t="shared" si="10"/>
        <v>1.8654486468026978</v>
      </c>
      <c r="Z36" s="19">
        <f t="shared" si="10"/>
        <v>4.6273371467600093</v>
      </c>
      <c r="AA36" s="19">
        <f t="shared" si="10"/>
        <v>4.670024758814991</v>
      </c>
      <c r="AB36" s="19">
        <f t="shared" si="10"/>
        <v>8.9112332451122747</v>
      </c>
      <c r="AC36" s="19">
        <f t="shared" si="10"/>
        <v>1.0605331682745653</v>
      </c>
      <c r="AD36" s="19">
        <f t="shared" si="10"/>
        <v>7.8031315632203508</v>
      </c>
    </row>
    <row r="37" spans="2:30">
      <c r="B37" s="14" t="s">
        <v>59</v>
      </c>
      <c r="C37" s="15" t="s">
        <v>60</v>
      </c>
      <c r="D37" s="40"/>
      <c r="E37" s="20">
        <f>(E11-E15)/E11</f>
        <v>0.85501901578886719</v>
      </c>
      <c r="F37" s="20">
        <f>(F11-F15)/F11</f>
        <v>0.72238152498997932</v>
      </c>
      <c r="G37" s="20">
        <f>(G11-G15)/G11</f>
        <v>0.86759392169479777</v>
      </c>
      <c r="H37" s="20">
        <f>(H11-H15)/H11</f>
        <v>0.74047132379463754</v>
      </c>
      <c r="I37" s="20">
        <f>(I11-I15)/I11</f>
        <v>0.64007891770011272</v>
      </c>
      <c r="J37" s="40"/>
      <c r="K37" s="20">
        <f>(K11-K15)/K11</f>
        <v>0.86420847367488041</v>
      </c>
      <c r="L37" s="20">
        <f>(L11-L15)/L11</f>
        <v>0.75406360424028274</v>
      </c>
      <c r="M37" s="20">
        <f>(M11-M15)/M11</f>
        <v>0.82745295698924726</v>
      </c>
      <c r="N37" s="40"/>
      <c r="O37" s="20">
        <f>(O11-O15)/O11</f>
        <v>0.46415489272632121</v>
      </c>
      <c r="P37" s="20">
        <f>(P11-P15)/P11</f>
        <v>0.38944723618090454</v>
      </c>
      <c r="Q37" s="20">
        <f>(Q11-Q15)/Q11</f>
        <v>0.62184873949579833</v>
      </c>
      <c r="R37" s="40"/>
      <c r="S37" s="20">
        <f>(S11-S15)/S11</f>
        <v>0.53606385380559651</v>
      </c>
      <c r="T37" s="20">
        <f>(T11-T15)/T11</f>
        <v>0.57338679091943445</v>
      </c>
      <c r="U37" s="20">
        <f>(U11-U15)/U11</f>
        <v>0.49332900954322251</v>
      </c>
      <c r="V37" s="20">
        <f>(V11-V15)/V11</f>
        <v>0.47954211239583633</v>
      </c>
      <c r="W37" s="40"/>
      <c r="X37" s="20">
        <f t="shared" ref="X37:AD37" si="11">(X11-X15)/X11</f>
        <v>0.47882691517061804</v>
      </c>
      <c r="Y37" s="20">
        <f t="shared" si="11"/>
        <v>0.39955357142857156</v>
      </c>
      <c r="Z37" s="20">
        <f t="shared" si="11"/>
        <v>0.83988095238095228</v>
      </c>
      <c r="AA37" s="20">
        <f t="shared" si="11"/>
        <v>0.45001717622810022</v>
      </c>
      <c r="AB37" s="20">
        <f t="shared" si="11"/>
        <v>0.52650306748466247</v>
      </c>
      <c r="AC37" s="20">
        <f t="shared" si="11"/>
        <v>0.55474649406688237</v>
      </c>
      <c r="AD37" s="20">
        <f t="shared" si="11"/>
        <v>0.47498254596229927</v>
      </c>
    </row>
    <row r="38" spans="2:30">
      <c r="B38" s="14"/>
      <c r="C38" s="15"/>
      <c r="D38" s="40"/>
      <c r="E38" s="20"/>
      <c r="F38" s="20"/>
      <c r="G38" s="20"/>
      <c r="H38" s="20"/>
      <c r="I38" s="20"/>
      <c r="J38" s="40"/>
      <c r="K38" s="20"/>
      <c r="L38" s="20"/>
      <c r="M38" s="20"/>
      <c r="N38" s="40"/>
      <c r="O38" s="20"/>
      <c r="P38" s="20"/>
      <c r="Q38" s="20"/>
      <c r="R38" s="40"/>
      <c r="S38" s="20"/>
      <c r="T38" s="20"/>
      <c r="U38" s="20"/>
      <c r="V38" s="20"/>
      <c r="W38" s="40"/>
      <c r="X38" s="20"/>
      <c r="Y38" s="20"/>
      <c r="Z38" s="20"/>
      <c r="AA38" s="20"/>
      <c r="AB38" s="20"/>
      <c r="AC38" s="20"/>
      <c r="AD38" s="20"/>
    </row>
    <row r="39" spans="2:30">
      <c r="B39" s="1" t="s">
        <v>61</v>
      </c>
      <c r="C39" s="2" t="s">
        <v>62</v>
      </c>
      <c r="D39" s="41"/>
      <c r="E39" s="21">
        <f>E20/E18</f>
        <v>0.1308454273208938</v>
      </c>
      <c r="F39" s="21">
        <f>F20/F18</f>
        <v>0.17039744175422566</v>
      </c>
      <c r="G39" s="21">
        <f>G20/G18</f>
        <v>0.17369997277429894</v>
      </c>
      <c r="H39" s="21">
        <f>H20/H18</f>
        <v>0.13189217010873061</v>
      </c>
      <c r="I39" s="21">
        <f>I20/I18</f>
        <v>0.16047144152311876</v>
      </c>
      <c r="J39" s="41"/>
      <c r="K39" s="21">
        <f>K20/K18</f>
        <v>0.18001168907071888</v>
      </c>
      <c r="L39" s="21">
        <f>L20/L18</f>
        <v>0.25440172475745598</v>
      </c>
      <c r="M39" s="21">
        <f>M20/M18</f>
        <v>0.29761904761904762</v>
      </c>
      <c r="N39" s="41"/>
      <c r="O39" s="21">
        <f>O20/O18</f>
        <v>0.10002786291446086</v>
      </c>
      <c r="P39" s="21">
        <f>P20/P18</f>
        <v>0.2499050279329609</v>
      </c>
      <c r="Q39" s="21">
        <f>Q20/Q18</f>
        <v>7.9482439926062853E-2</v>
      </c>
      <c r="R39" s="41"/>
      <c r="S39" s="21">
        <f>S20/S18</f>
        <v>0.20866542031552363</v>
      </c>
      <c r="T39" s="21">
        <f>T20/T18</f>
        <v>9.5774067202638632E-2</v>
      </c>
      <c r="U39" s="21">
        <f>U20/U18</f>
        <v>9.4984065401136214E-2</v>
      </c>
      <c r="V39" s="21">
        <f>V20/V18</f>
        <v>0.22828405973788476</v>
      </c>
      <c r="W39" s="41"/>
      <c r="X39" s="21">
        <f t="shared" ref="X39:AD39" si="12">X20/X18</f>
        <v>0.47856931717410583</v>
      </c>
      <c r="Y39" s="21">
        <f t="shared" si="12"/>
        <v>0.11145752143413873</v>
      </c>
      <c r="Z39" s="21">
        <f t="shared" si="12"/>
        <v>0.28076256499133456</v>
      </c>
      <c r="AA39" s="21">
        <f t="shared" si="12"/>
        <v>0.12870045158053187</v>
      </c>
      <c r="AB39" s="21">
        <f t="shared" si="12"/>
        <v>5.2807486631016039E-2</v>
      </c>
      <c r="AC39" s="21">
        <f t="shared" si="12"/>
        <v>0.22763157894736843</v>
      </c>
      <c r="AD39" s="21">
        <f t="shared" si="12"/>
        <v>0.21044219499200856</v>
      </c>
    </row>
    <row r="40" spans="2:30">
      <c r="B40" s="14" t="s">
        <v>63</v>
      </c>
      <c r="C40" s="15" t="s">
        <v>64</v>
      </c>
      <c r="D40" s="40"/>
      <c r="E40" s="20">
        <f>E28/E18</f>
        <v>9.1223220456116097E-2</v>
      </c>
      <c r="F40" s="20">
        <f>F28/F18</f>
        <v>0.11786203746002741</v>
      </c>
      <c r="G40" s="20">
        <f>G28/G18</f>
        <v>8.3378709501769677E-2</v>
      </c>
      <c r="H40" s="20">
        <f>H28/H18</f>
        <v>0.10435565849578587</v>
      </c>
      <c r="I40" s="20">
        <f>I28/I18</f>
        <v>0.11514052583862194</v>
      </c>
      <c r="J40" s="40"/>
      <c r="K40" s="20">
        <f>K28/K18</f>
        <v>0.10870835768556401</v>
      </c>
      <c r="L40" s="20">
        <f>L28/L18</f>
        <v>0.17535034135824651</v>
      </c>
      <c r="M40" s="20">
        <f>M28/M18</f>
        <v>0.19365079365079368</v>
      </c>
      <c r="N40" s="40"/>
      <c r="O40" s="20">
        <f>O28/O18</f>
        <v>8.414600167177487E-2</v>
      </c>
      <c r="P40" s="20">
        <f>P28/P18</f>
        <v>0.12398044692737431</v>
      </c>
      <c r="Q40" s="20">
        <f>Q28/Q18</f>
        <v>6.592729513247074E-2</v>
      </c>
      <c r="R40" s="40"/>
      <c r="S40" s="20">
        <f>S28/S18</f>
        <v>0.19062612745580371</v>
      </c>
      <c r="T40" s="20">
        <f>T28/T18</f>
        <v>7.8334364048649768E-2</v>
      </c>
      <c r="U40" s="20">
        <f>U28/U18</f>
        <v>0.10721213800748233</v>
      </c>
      <c r="V40" s="20">
        <f>V28/V18</f>
        <v>0.15480544549425987</v>
      </c>
      <c r="W40" s="40"/>
      <c r="X40" s="20">
        <f t="shared" ref="X40:AD40" si="13">X28/X18</f>
        <v>0.47167208591979504</v>
      </c>
      <c r="Y40" s="20">
        <f t="shared" si="13"/>
        <v>0.11379579111457522</v>
      </c>
      <c r="Z40" s="20">
        <f t="shared" si="13"/>
        <v>0.26689774696707108</v>
      </c>
      <c r="AA40" s="20">
        <f t="shared" si="13"/>
        <v>0.10737581535373809</v>
      </c>
      <c r="AB40" s="20">
        <f t="shared" si="13"/>
        <v>7.4197860962566836E-2</v>
      </c>
      <c r="AC40" s="20">
        <f t="shared" si="13"/>
        <v>0.20394736842105263</v>
      </c>
      <c r="AD40" s="20">
        <f t="shared" si="13"/>
        <v>0</v>
      </c>
    </row>
    <row r="41" spans="2:30">
      <c r="B41" s="1" t="s">
        <v>65</v>
      </c>
      <c r="C41" s="2" t="s">
        <v>66</v>
      </c>
      <c r="D41" s="41"/>
      <c r="E41" s="21">
        <f>E27/E18</f>
        <v>1.0412347385395071E-2</v>
      </c>
      <c r="F41" s="21">
        <f>F27/F18</f>
        <v>4.6038272168925434E-2</v>
      </c>
      <c r="G41" s="21">
        <f>G27/G18</f>
        <v>4.8734004900626196E-2</v>
      </c>
      <c r="H41" s="21">
        <f>H27/H18</f>
        <v>3.4420639516180913E-2</v>
      </c>
      <c r="I41" s="21">
        <f>I27/I18</f>
        <v>4.361559383499547E-2</v>
      </c>
      <c r="J41" s="41"/>
      <c r="K41" s="21">
        <f>K27/K18</f>
        <v>3.0683810637054356E-2</v>
      </c>
      <c r="L41" s="21">
        <f>L27/L18</f>
        <v>6.8091987064319084E-2</v>
      </c>
      <c r="M41" s="21">
        <f>M27/M18</f>
        <v>9.3650793650793665E-2</v>
      </c>
      <c r="N41" s="41"/>
      <c r="O41" s="21">
        <f>O27/O18</f>
        <v>4.4859292281972704E-2</v>
      </c>
      <c r="P41" s="21">
        <f>P27/P18</f>
        <v>5.0748603351955315E-2</v>
      </c>
      <c r="Q41" s="21">
        <f>Q27/Q18</f>
        <v>2.6580406654343806E-2</v>
      </c>
      <c r="R41" s="41"/>
      <c r="S41" s="21">
        <f>S27/S18</f>
        <v>7.7306569582472368E-2</v>
      </c>
      <c r="T41" s="21">
        <f>T27/T18</f>
        <v>6.1842918985776131E-2</v>
      </c>
      <c r="U41" s="21">
        <f>U27/U18</f>
        <v>3.6268532631287237E-2</v>
      </c>
      <c r="V41" s="21">
        <f>V27/V18</f>
        <v>8.2749161840902155E-2</v>
      </c>
      <c r="W41" s="41"/>
      <c r="X41" s="21">
        <f t="shared" ref="X41:AD41" si="14">X27/X18</f>
        <v>1.1725293132328308E-3</v>
      </c>
      <c r="Y41" s="21">
        <f t="shared" si="14"/>
        <v>-1.1042868277474669E-2</v>
      </c>
      <c r="Z41" s="21">
        <f t="shared" si="14"/>
        <v>3.0848642403235125E-2</v>
      </c>
      <c r="AA41" s="21">
        <f t="shared" si="14"/>
        <v>3.9638735574510794E-2</v>
      </c>
      <c r="AB41" s="21">
        <f t="shared" si="14"/>
        <v>-3.20855614973262E-2</v>
      </c>
      <c r="AC41" s="21">
        <f t="shared" si="14"/>
        <v>3.6513157894736845E-2</v>
      </c>
      <c r="AD41" s="21">
        <f t="shared" si="14"/>
        <v>-3.2754928076718169E-2</v>
      </c>
    </row>
    <row r="42" spans="2:30">
      <c r="B42" s="1" t="s">
        <v>67</v>
      </c>
      <c r="C42" s="2" t="s">
        <v>68</v>
      </c>
      <c r="D42" s="41"/>
      <c r="E42" s="21">
        <f>E27/E11</f>
        <v>1.041834735507664E-2</v>
      </c>
      <c r="F42" s="21">
        <f>F27/F11</f>
        <v>2.7965343939814386E-2</v>
      </c>
      <c r="G42" s="21">
        <f>G27/G11</f>
        <v>3.5440281146364404E-2</v>
      </c>
      <c r="H42" s="21">
        <f>H27/H11</f>
        <v>3.216303955753276E-2</v>
      </c>
      <c r="I42" s="21">
        <f>I27/I11</f>
        <v>2.7118376550169108E-2</v>
      </c>
      <c r="J42" s="41"/>
      <c r="K42" s="21">
        <f>K27/K11</f>
        <v>1.8613720971458962E-2</v>
      </c>
      <c r="L42" s="21">
        <f>L27/L11</f>
        <v>4.4640753828032981E-2</v>
      </c>
      <c r="M42" s="21">
        <f>M27/M11</f>
        <v>5.9475806451612899E-2</v>
      </c>
      <c r="N42" s="41"/>
      <c r="O42" s="21">
        <f>O27/O11</f>
        <v>8.4249084249084269E-2</v>
      </c>
      <c r="P42" s="21">
        <f>P27/P11</f>
        <v>4.564824120603015E-2</v>
      </c>
      <c r="Q42" s="21">
        <f>Q27/Q11</f>
        <v>5.1788715486194473E-2</v>
      </c>
      <c r="R42" s="41"/>
      <c r="S42" s="21">
        <f>S27/S11</f>
        <v>3.130270794321155E-2</v>
      </c>
      <c r="T42" s="21">
        <f>T27/T11</f>
        <v>8.1269978869805484E-2</v>
      </c>
      <c r="U42" s="21">
        <f>U27/U11</f>
        <v>4.8503659779486702E-2</v>
      </c>
      <c r="V42" s="21">
        <f>V27/V11</f>
        <v>9.3941927856751525E-2</v>
      </c>
      <c r="W42" s="41"/>
      <c r="X42" s="21">
        <f t="shared" ref="X42:AD42" si="15">X27/X11</f>
        <v>4.0770179525832534E-4</v>
      </c>
      <c r="Y42" s="21">
        <f t="shared" si="15"/>
        <v>-4.5178571428571429E-3</v>
      </c>
      <c r="Z42" s="21">
        <f t="shared" si="15"/>
        <v>1.0595039682539683E-2</v>
      </c>
      <c r="AA42" s="21">
        <f t="shared" si="15"/>
        <v>2.7138440398488495E-2</v>
      </c>
      <c r="AB42" s="21">
        <f t="shared" si="15"/>
        <v>-2.3558282208588958E-2</v>
      </c>
      <c r="AC42" s="21">
        <f t="shared" si="15"/>
        <v>1.4967637540453075E-2</v>
      </c>
      <c r="AD42" s="21">
        <f t="shared" si="15"/>
        <v>-1.4307889225040726E-2</v>
      </c>
    </row>
    <row r="43" spans="2:30">
      <c r="B43" s="14" t="s">
        <v>69</v>
      </c>
      <c r="C43" s="15" t="s">
        <v>70</v>
      </c>
      <c r="D43" s="40"/>
      <c r="E43" s="20">
        <f>E27/E15</f>
        <v>7.1860095389507148E-2</v>
      </c>
      <c r="F43" s="20">
        <f>F27/F15</f>
        <v>0.10073300755219902</v>
      </c>
      <c r="G43" s="20">
        <f>G27/G15</f>
        <v>0.26766355140186915</v>
      </c>
      <c r="H43" s="20">
        <f>H27/H15</f>
        <v>0.12392865415798006</v>
      </c>
      <c r="I43" s="20">
        <f>I27/I15</f>
        <v>7.5345340642129999E-2</v>
      </c>
      <c r="J43" s="40"/>
      <c r="K43" s="20">
        <f>K27/K15</f>
        <v>0.13707571801566579</v>
      </c>
      <c r="L43" s="20">
        <f>L27/L15</f>
        <v>0.18151340996168583</v>
      </c>
      <c r="M43" s="20">
        <f>M27/M15</f>
        <v>0.34469328140214217</v>
      </c>
      <c r="N43" s="40"/>
      <c r="O43" s="20">
        <f>O27/O15</f>
        <v>0.1572265625</v>
      </c>
      <c r="P43" s="20">
        <f>P27/P15</f>
        <v>7.4765432098765433E-2</v>
      </c>
      <c r="Q43" s="20">
        <f>Q27/Q15</f>
        <v>0.13695238095238094</v>
      </c>
      <c r="R43" s="40"/>
      <c r="S43" s="20">
        <f>S27/S15</f>
        <v>6.7472017862765868E-2</v>
      </c>
      <c r="T43" s="20">
        <f>T27/T15</f>
        <v>0.19050038100076203</v>
      </c>
      <c r="U43" s="20">
        <f>U27/U15</f>
        <v>9.5730090518423697E-2</v>
      </c>
      <c r="V43" s="20">
        <f>V27/V15</f>
        <v>0.18049861495844874</v>
      </c>
      <c r="W43" s="40"/>
      <c r="X43" s="20">
        <f t="shared" ref="X43:AD43" si="16">X27/X15</f>
        <v>7.8227714961872209E-4</v>
      </c>
      <c r="Y43" s="20">
        <f t="shared" si="16"/>
        <v>-7.5241635687732355E-3</v>
      </c>
      <c r="Z43" s="20">
        <f t="shared" si="16"/>
        <v>6.6169764560099126E-2</v>
      </c>
      <c r="AA43" s="20">
        <f t="shared" si="16"/>
        <v>4.9344159900062461E-2</v>
      </c>
      <c r="AB43" s="20">
        <f t="shared" si="16"/>
        <v>-4.9753822233739302E-2</v>
      </c>
      <c r="AC43" s="20">
        <f t="shared" si="16"/>
        <v>3.3615990308903693E-2</v>
      </c>
      <c r="AD43" s="20">
        <f t="shared" si="16"/>
        <v>-2.7252216312056737E-2</v>
      </c>
    </row>
    <row r="44" spans="2:30">
      <c r="B44" s="1" t="s">
        <v>71</v>
      </c>
      <c r="C44" s="2" t="s">
        <v>72</v>
      </c>
      <c r="D44" s="41"/>
      <c r="E44" s="21">
        <f>E25/(E11-E15)</f>
        <v>2.9249224962933008E-2</v>
      </c>
      <c r="F44" s="21">
        <f>F25/(F11-F15)</f>
        <v>6.4450040548038757E-3</v>
      </c>
      <c r="G44" s="21">
        <f>G25/(G11-G15)</f>
        <v>4.729575536284801E-3</v>
      </c>
      <c r="H44" s="21">
        <f>H25/(H11-H15)</f>
        <v>2.7116992774214501E-3</v>
      </c>
      <c r="I44" s="21">
        <f>I25/(I11-I15)</f>
        <v>1.0114487010127696E-3</v>
      </c>
      <c r="J44" s="41"/>
      <c r="K44" s="21">
        <f>K25/(K11-K15)</f>
        <v>1.1192820512820513E-2</v>
      </c>
      <c r="L44" s="21">
        <f>L25/(L11-L15)</f>
        <v>1.8587941268353635E-2</v>
      </c>
      <c r="M44" s="21">
        <f>M25/(M11-M15)</f>
        <v>1.2676142131979694E-2</v>
      </c>
      <c r="N44" s="41"/>
      <c r="O44" s="21">
        <f>O25/(O11-O15)</f>
        <v>1.8590755355129651E-3</v>
      </c>
      <c r="P44" s="21">
        <f>P25/(P11-P15)</f>
        <v>4.3096774193548378E-3</v>
      </c>
      <c r="Q44" s="21">
        <f>Q25/(Q11-Q15)</f>
        <v>1.3204633204633207E-2</v>
      </c>
      <c r="R44" s="41"/>
      <c r="S44" s="21">
        <f>S25/(S11-S15)</f>
        <v>8.3737984342483387E-3</v>
      </c>
      <c r="T44" s="21">
        <f>T25/(T11-T15)</f>
        <v>6.4562033449872425E-3</v>
      </c>
      <c r="U44" s="21">
        <f>U25/(U11-U15)</f>
        <v>9.8600807587566897E-3</v>
      </c>
      <c r="V44" s="21">
        <f>V25/(V11-V15)</f>
        <v>7.9369851482171848E-4</v>
      </c>
      <c r="W44" s="41"/>
      <c r="X44" s="21">
        <f t="shared" ref="X44:AD44" si="17">X25/(X11-X15)</f>
        <v>2.633085289066972E-2</v>
      </c>
      <c r="Y44" s="21">
        <f t="shared" si="17"/>
        <v>1.8928172386272937E-2</v>
      </c>
      <c r="Z44" s="21">
        <f t="shared" si="17"/>
        <v>5.9296007559650359E-2</v>
      </c>
      <c r="AA44" s="21">
        <f t="shared" si="17"/>
        <v>3.4399618320610698E-2</v>
      </c>
      <c r="AB44" s="21">
        <f t="shared" si="17"/>
        <v>3.309251922628758E-2</v>
      </c>
      <c r="AC44" s="21">
        <f t="shared" si="17"/>
        <v>5.7365094798249888E-2</v>
      </c>
      <c r="AD44" s="21">
        <f t="shared" si="17"/>
        <v>1.2663400293973542E-2</v>
      </c>
    </row>
    <row r="46" spans="2:30">
      <c r="B46" s="1" t="s">
        <v>73</v>
      </c>
      <c r="C46" s="2" t="s">
        <v>74</v>
      </c>
      <c r="D46" s="42"/>
      <c r="E46" s="22">
        <f>E7/E$18*360</f>
        <v>9.9930891499654475</v>
      </c>
      <c r="F46" s="22">
        <f>F7/F$18*360</f>
        <v>90.48880767473733</v>
      </c>
      <c r="G46" s="22">
        <f>G7/G$18*360</f>
        <v>213.93683637353664</v>
      </c>
      <c r="H46" s="22">
        <f>H7/H$18*360</f>
        <v>52.8314997104806</v>
      </c>
      <c r="I46" s="22">
        <f>I7/I$18*360</f>
        <v>32.14868540344515</v>
      </c>
      <c r="J46" s="42"/>
      <c r="K46" s="22">
        <f>K7/K$18*360</f>
        <v>245.43541788427819</v>
      </c>
      <c r="L46" s="22">
        <f>L7/L$18*360</f>
        <v>111.11749910168884</v>
      </c>
      <c r="M46" s="22">
        <f>M7/M$18*360</f>
        <v>35.80952380952381</v>
      </c>
      <c r="N46" s="42"/>
      <c r="O46" s="22">
        <f>O7/O$18*360</f>
        <v>55.870716076901651</v>
      </c>
      <c r="P46" s="22">
        <f>P7/P$18*360</f>
        <v>64.178547486033523</v>
      </c>
      <c r="Q46" s="22">
        <f>Q7/Q$18*360</f>
        <v>50.573012939001842</v>
      </c>
      <c r="R46" s="42"/>
      <c r="S46" s="22">
        <f>S7/S$18*360</f>
        <v>20.863918134409136</v>
      </c>
      <c r="T46" s="22">
        <f>T7/T$18*360</f>
        <v>35.695732838589976</v>
      </c>
      <c r="U46" s="22">
        <f>U7/U$18*360</f>
        <v>0</v>
      </c>
      <c r="V46" s="22">
        <f>V7/V$18*360</f>
        <v>23.764096312099969</v>
      </c>
      <c r="W46" s="42"/>
      <c r="X46" s="22">
        <f t="shared" ref="X46:AD46" si="18">X7/X$18*360</f>
        <v>47.389890629618677</v>
      </c>
      <c r="Y46" s="22">
        <f t="shared" si="18"/>
        <v>46.017147310989863</v>
      </c>
      <c r="Z46" s="22">
        <f t="shared" si="18"/>
        <v>0</v>
      </c>
      <c r="AA46" s="22">
        <f t="shared" si="18"/>
        <v>36.848971399899654</v>
      </c>
      <c r="AB46" s="22">
        <f t="shared" si="18"/>
        <v>21.356951871657749</v>
      </c>
      <c r="AC46" s="22">
        <f t="shared" si="18"/>
        <v>45.710526315789473</v>
      </c>
      <c r="AD46" s="22">
        <f t="shared" si="18"/>
        <v>38.742674480554079</v>
      </c>
    </row>
    <row r="47" spans="2:30">
      <c r="B47" s="1" t="s">
        <v>75</v>
      </c>
      <c r="C47" s="2" t="s">
        <v>76</v>
      </c>
      <c r="D47" s="42"/>
      <c r="E47" s="22">
        <f>E12/E$18*360</f>
        <v>71.485832757429165</v>
      </c>
      <c r="F47" s="22">
        <f>F12/F$18*360</f>
        <v>32.928277752398358</v>
      </c>
      <c r="G47" s="22">
        <f>G12/G$18*360</f>
        <v>47.854614756329987</v>
      </c>
      <c r="H47" s="22">
        <f>H12/H$18*360</f>
        <v>54.70758540822235</v>
      </c>
      <c r="I47" s="22">
        <f>I12/I$18*360</f>
        <v>34.433363553943792</v>
      </c>
      <c r="J47" s="42"/>
      <c r="K47" s="22">
        <f>K12/K$18*360</f>
        <v>77.42840444184688</v>
      </c>
      <c r="L47" s="22">
        <f>L12/L$18*360</f>
        <v>42.42903341717571</v>
      </c>
      <c r="M47" s="22">
        <f>M12/M$18*360</f>
        <v>22.571428571428577</v>
      </c>
      <c r="N47" s="42"/>
      <c r="O47" s="22">
        <f>O12/O$18*360</f>
        <v>50.955697966007257</v>
      </c>
      <c r="P47" s="22">
        <f>P12/P$18*360</f>
        <v>45.915083798882691</v>
      </c>
      <c r="Q47" s="22">
        <f>Q12/Q$18*360</f>
        <v>54.121996303142325</v>
      </c>
      <c r="R47" s="42"/>
      <c r="S47" s="22">
        <f>S12/S$18*360</f>
        <v>32.966643707566668</v>
      </c>
      <c r="T47" s="22">
        <f>T12/T$18*360</f>
        <v>42.25602968460111</v>
      </c>
      <c r="U47" s="22">
        <f>U12/U$18*360</f>
        <v>0</v>
      </c>
      <c r="V47" s="22">
        <f>V12/V$18*360</f>
        <v>28.271868332825356</v>
      </c>
      <c r="W47" s="42"/>
      <c r="X47" s="22">
        <f t="shared" ref="X47:AD47" si="19">X12/X$18*360</f>
        <v>31.356783919597991</v>
      </c>
      <c r="Y47" s="22">
        <f t="shared" si="19"/>
        <v>67.903351519875287</v>
      </c>
      <c r="Z47" s="22">
        <f t="shared" si="19"/>
        <v>0</v>
      </c>
      <c r="AA47" s="22">
        <f t="shared" si="19"/>
        <v>29.533366783743105</v>
      </c>
      <c r="AB47" s="22">
        <f t="shared" si="19"/>
        <v>55.04679144385026</v>
      </c>
      <c r="AC47" s="22">
        <f t="shared" si="19"/>
        <v>52.578947368421055</v>
      </c>
      <c r="AD47" s="22">
        <f t="shared" si="19"/>
        <v>50.633990410229089</v>
      </c>
    </row>
    <row r="48" spans="2:30">
      <c r="B48" s="1" t="s">
        <v>77</v>
      </c>
      <c r="C48" s="2" t="s">
        <v>78</v>
      </c>
      <c r="D48" s="42"/>
      <c r="E48" s="22">
        <f>E8/E$18*360</f>
        <v>42.418797512093988</v>
      </c>
      <c r="F48" s="22">
        <f>F8/F$18*360</f>
        <v>52.352672453174968</v>
      </c>
      <c r="G48" s="22">
        <f>G8/G$18*360</f>
        <v>18.891913966784646</v>
      </c>
      <c r="H48" s="22">
        <f>H8/H$18*360</f>
        <v>32.518818760856973</v>
      </c>
      <c r="I48" s="22">
        <f>I8/I$18*360</f>
        <v>28.068902991840432</v>
      </c>
      <c r="J48" s="42"/>
      <c r="K48" s="22">
        <f>K8/K$18*360</f>
        <v>79.216832261835194</v>
      </c>
      <c r="L48" s="22">
        <f>L8/L$18*360</f>
        <v>81.688825008983116</v>
      </c>
      <c r="M48" s="22">
        <f>M8/M$18*360</f>
        <v>46.952380952380949</v>
      </c>
      <c r="N48" s="42"/>
      <c r="O48" s="22">
        <f>O8/O$18*360</f>
        <v>28.085817776539429</v>
      </c>
      <c r="P48" s="22">
        <f>P8/P$18*360</f>
        <v>37.273072625698326</v>
      </c>
      <c r="Q48" s="22">
        <f>Q8/Q$18*360</f>
        <v>18.159704251386323</v>
      </c>
      <c r="R48" s="42"/>
      <c r="S48" s="22">
        <f>S8/S$18*360</f>
        <v>41.231919708747419</v>
      </c>
      <c r="T48" s="22">
        <f>T8/T$18*360</f>
        <v>26.196660482374764</v>
      </c>
      <c r="U48" s="22">
        <f>U8/U$18*360</f>
        <v>0</v>
      </c>
      <c r="V48" s="22">
        <f>V8/V$18*360</f>
        <v>14.757695824443767</v>
      </c>
      <c r="W48" s="42"/>
      <c r="X48" s="22">
        <f t="shared" ref="X48:AD48" si="20">X8/X$18*360</f>
        <v>34.265444871415902</v>
      </c>
      <c r="Y48" s="22">
        <f t="shared" si="20"/>
        <v>108.30865159781762</v>
      </c>
      <c r="Z48" s="22">
        <f t="shared" si="20"/>
        <v>65.719237435008679</v>
      </c>
      <c r="AA48" s="22">
        <f t="shared" si="20"/>
        <v>76.768690416457616</v>
      </c>
      <c r="AB48" s="22">
        <f t="shared" si="20"/>
        <v>83.983957219251337</v>
      </c>
      <c r="AC48" s="22">
        <f t="shared" si="20"/>
        <v>38.368421052631575</v>
      </c>
      <c r="AD48" s="22">
        <f t="shared" si="20"/>
        <v>55.428875865743215</v>
      </c>
    </row>
    <row r="50" spans="2:30">
      <c r="B50" s="1" t="s">
        <v>79</v>
      </c>
      <c r="C50" s="2" t="s">
        <v>80</v>
      </c>
      <c r="E50" s="21">
        <f>E21/E18</f>
        <v>9.2259847961299254E-2</v>
      </c>
      <c r="F50" s="21">
        <f>F21/F18</f>
        <v>0.12720166489010709</v>
      </c>
      <c r="G50" s="21">
        <f>G21/G18</f>
        <v>0.13463109175061261</v>
      </c>
      <c r="H50" s="21">
        <f>H21/H18</f>
        <v>7.9263977353149329E-2</v>
      </c>
      <c r="I50" s="21">
        <f>I21/I18</f>
        <v>9.5194922937443333E-2</v>
      </c>
      <c r="K50" s="21">
        <f>K21/K18</f>
        <v>0.10052600818234951</v>
      </c>
      <c r="L50" s="21">
        <f>L21/L18</f>
        <v>0.13456701401365434</v>
      </c>
      <c r="M50" s="21">
        <f>M21/M18</f>
        <v>0.1343915343915344</v>
      </c>
      <c r="O50" s="21">
        <f>O21/O18</f>
        <v>4.653106714962385E-2</v>
      </c>
      <c r="P50" s="21">
        <f>P21/P18</f>
        <v>0.17055586592178773</v>
      </c>
      <c r="Q50" s="21">
        <f>Q21/Q18</f>
        <v>3.1016635859519404E-2</v>
      </c>
      <c r="S50" s="21">
        <f>S21/S18</f>
        <v>7.7995342582570765E-2</v>
      </c>
      <c r="T50" s="21">
        <f>T21/T18</f>
        <v>3.4467120181405894E-2</v>
      </c>
      <c r="U50" s="21">
        <f>U21/U18</f>
        <v>3.5437162255784957E-2</v>
      </c>
      <c r="V50" s="21">
        <f>V21/V18</f>
        <v>3.2713603576145486E-2</v>
      </c>
      <c r="X50" s="21">
        <f t="shared" ref="X50:AD50" si="21">X21/X18</f>
        <v>4.0792196275495123E-2</v>
      </c>
      <c r="Y50" s="21">
        <f t="shared" si="21"/>
        <v>6.5485580670303981E-2</v>
      </c>
      <c r="Z50" s="21">
        <f t="shared" si="21"/>
        <v>7.6834199884459858E-2</v>
      </c>
      <c r="AA50" s="21">
        <f t="shared" si="21"/>
        <v>6.5479177119919713E-2</v>
      </c>
      <c r="AB50" s="21">
        <f t="shared" si="21"/>
        <v>3.7767379679144376E-2</v>
      </c>
      <c r="AC50" s="21">
        <f t="shared" si="21"/>
        <v>9.0789473684210531E-2</v>
      </c>
      <c r="AD50" s="21">
        <f t="shared" si="21"/>
        <v>0</v>
      </c>
    </row>
    <row r="51" spans="2:30">
      <c r="B51" s="1" t="s">
        <v>81</v>
      </c>
      <c r="C51" s="2" t="s">
        <v>82</v>
      </c>
      <c r="E51" s="21">
        <f>E22/E18</f>
        <v>1.5203870076019352E-2</v>
      </c>
      <c r="F51" s="21">
        <f>F22/F18</f>
        <v>3.9642657733109994E-2</v>
      </c>
      <c r="G51" s="21">
        <f>G22/G18</f>
        <v>4.3561121698883751E-2</v>
      </c>
      <c r="H51" s="21">
        <f>H22/H18</f>
        <v>4.6323103647944411E-2</v>
      </c>
      <c r="I51" s="21">
        <f>I22/I18</f>
        <v>3.6602447869446969E-2</v>
      </c>
      <c r="K51" s="21">
        <f>K22/K18</f>
        <v>1.4044418468731737E-2</v>
      </c>
      <c r="L51" s="21">
        <f>L22/L18</f>
        <v>3.6830758174631689E-2</v>
      </c>
      <c r="M51" s="21">
        <f>M22/M18</f>
        <v>3.9153439153439155E-2</v>
      </c>
      <c r="O51" s="21">
        <f>O22/O18</f>
        <v>0</v>
      </c>
      <c r="P51" s="21">
        <f>P22/P18</f>
        <v>9.370391061452514E-2</v>
      </c>
      <c r="Q51" s="21">
        <f>Q22/Q18</f>
        <v>6.6789895255699328E-3</v>
      </c>
      <c r="S51" s="21">
        <f>S22/S18</f>
        <v>7.9700875725671558E-3</v>
      </c>
      <c r="T51" s="21">
        <f>T22/T18</f>
        <v>0</v>
      </c>
      <c r="U51" s="21">
        <f>U22/U18</f>
        <v>2.9208812525980325E-3</v>
      </c>
      <c r="V51" s="21">
        <f>V22/V18</f>
        <v>2.6414710962105047E-3</v>
      </c>
      <c r="X51" s="21">
        <f t="shared" ref="X51:AD51" si="22">X22/X18</f>
        <v>1.7243078135776923E-2</v>
      </c>
      <c r="Y51" s="21">
        <f t="shared" si="22"/>
        <v>2.3819173811379579E-3</v>
      </c>
      <c r="Z51" s="21">
        <f t="shared" si="22"/>
        <v>0</v>
      </c>
      <c r="AA51" s="21">
        <f t="shared" si="22"/>
        <v>0</v>
      </c>
      <c r="AB51" s="21">
        <f t="shared" si="22"/>
        <v>3.3985628342245991E-3</v>
      </c>
      <c r="AC51" s="21">
        <f t="shared" si="22"/>
        <v>0</v>
      </c>
      <c r="AD51" s="21">
        <f t="shared" si="22"/>
        <v>0</v>
      </c>
    </row>
    <row r="53" spans="2:30">
      <c r="B53" s="25" t="s">
        <v>90</v>
      </c>
    </row>
    <row r="54" spans="2:30">
      <c r="B54" s="14" t="s">
        <v>92</v>
      </c>
    </row>
  </sheetData>
  <dataValidations count="2">
    <dataValidation type="list" allowBlank="1" showInputMessage="1" showErrorMessage="1" sqref="B2">
      <formula1>"LC,BRL,USD,EUR,JPY"</formula1>
    </dataValidation>
    <dataValidation type="list" allowBlank="1" showInputMessage="1" showErrorMessage="1" sqref="B4 B1">
      <formula1>$AG$4:$AG$9</formula1>
    </dataValidation>
  </dataValidations>
  <printOptions horizontalCentered="1" verticalCentered="1"/>
  <pageMargins left="0.51181102362204722" right="0.51181102362204722" top="0.78740157480314965" bottom="0.78740157480314965" header="0.31496062992125984" footer="0.31496062992125984"/>
  <pageSetup paperSize="9" scale="55" orientation="landscape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Plan16">
    <tabColor theme="0" tint="-0.249977111117893"/>
  </sheetPr>
  <dimension ref="B2:U75"/>
  <sheetViews>
    <sheetView zoomScale="80" zoomScaleNormal="80" workbookViewId="0">
      <selection activeCell="C21" sqref="C21"/>
    </sheetView>
  </sheetViews>
  <sheetFormatPr defaultRowHeight="15"/>
  <cols>
    <col min="2" max="2" width="8.7109375" bestFit="1" customWidth="1"/>
    <col min="4" max="4" width="10.85546875" bestFit="1" customWidth="1"/>
    <col min="7" max="7" width="30.7109375" bestFit="1" customWidth="1"/>
    <col min="9" max="9" width="4.5703125" bestFit="1" customWidth="1"/>
    <col min="18" max="18" width="11.5703125" bestFit="1" customWidth="1"/>
  </cols>
  <sheetData>
    <row r="2" spans="2:21">
      <c r="B2" t="s">
        <v>117</v>
      </c>
      <c r="D2" s="44">
        <v>26</v>
      </c>
      <c r="E2" s="44"/>
      <c r="F2" s="44">
        <v>22</v>
      </c>
    </row>
    <row r="3" spans="2:21">
      <c r="B3" s="45" t="s">
        <v>118</v>
      </c>
      <c r="C3" s="45"/>
      <c r="D3" s="45" t="s">
        <v>119</v>
      </c>
      <c r="E3" s="45"/>
      <c r="F3" s="45" t="s">
        <v>120</v>
      </c>
      <c r="G3" s="45" t="s">
        <v>121</v>
      </c>
      <c r="I3" s="45"/>
      <c r="J3" s="45">
        <v>2008</v>
      </c>
      <c r="K3" s="45">
        <v>2009</v>
      </c>
      <c r="L3" s="45">
        <v>2010</v>
      </c>
      <c r="M3" s="45">
        <v>2011</v>
      </c>
      <c r="N3" s="45">
        <v>2012</v>
      </c>
      <c r="O3" s="45">
        <v>2013</v>
      </c>
      <c r="T3">
        <f>COUNT(T4:T26)</f>
        <v>23</v>
      </c>
      <c r="U3" s="46">
        <f>SUM(T4:T26)/T3</f>
        <v>0.95652173913043481</v>
      </c>
    </row>
    <row r="4" spans="2:21">
      <c r="B4" t="s">
        <v>122</v>
      </c>
      <c r="D4" t="s">
        <v>8</v>
      </c>
      <c r="E4" t="s">
        <v>123</v>
      </c>
      <c r="F4" t="s">
        <v>124</v>
      </c>
      <c r="G4" t="s">
        <v>9</v>
      </c>
      <c r="H4" t="s">
        <v>125</v>
      </c>
      <c r="I4" t="s">
        <v>110</v>
      </c>
      <c r="J4" s="47">
        <v>1</v>
      </c>
      <c r="K4" s="47">
        <v>1</v>
      </c>
      <c r="L4" s="47">
        <v>1</v>
      </c>
      <c r="M4" s="47">
        <v>1</v>
      </c>
      <c r="N4" s="47">
        <v>1</v>
      </c>
      <c r="O4" s="47">
        <v>1</v>
      </c>
      <c r="R4" t="s">
        <v>8</v>
      </c>
      <c r="S4" t="s">
        <v>126</v>
      </c>
      <c r="T4">
        <f>IF(S4&lt;&gt;"",1,0)</f>
        <v>1</v>
      </c>
      <c r="U4" t="s">
        <v>127</v>
      </c>
    </row>
    <row r="5" spans="2:21">
      <c r="B5" t="s">
        <v>128</v>
      </c>
      <c r="D5" t="s">
        <v>10</v>
      </c>
      <c r="E5" t="s">
        <v>123</v>
      </c>
      <c r="F5" t="s">
        <v>124</v>
      </c>
      <c r="G5" t="s">
        <v>11</v>
      </c>
      <c r="H5" t="s">
        <v>125</v>
      </c>
      <c r="I5" t="s">
        <v>0</v>
      </c>
      <c r="J5" s="47">
        <v>2.3370000000000002</v>
      </c>
      <c r="K5" s="47">
        <v>1.7412000000000001</v>
      </c>
      <c r="L5" s="47">
        <v>1.6661999999999999</v>
      </c>
      <c r="M5" s="47">
        <v>1.8757999999999999</v>
      </c>
      <c r="N5" s="47">
        <v>2.0434999999999999</v>
      </c>
      <c r="O5" s="47">
        <v>2.3426</v>
      </c>
      <c r="R5" t="s">
        <v>10</v>
      </c>
      <c r="S5" t="s">
        <v>126</v>
      </c>
      <c r="T5">
        <f t="shared" ref="T5:T26" si="0">IF(S5&lt;&gt;"",1,0)</f>
        <v>1</v>
      </c>
      <c r="U5" t="s">
        <v>127</v>
      </c>
    </row>
    <row r="6" spans="2:21">
      <c r="B6" t="s">
        <v>129</v>
      </c>
      <c r="D6" t="s">
        <v>12</v>
      </c>
      <c r="E6" t="s">
        <v>0</v>
      </c>
      <c r="F6" t="s">
        <v>124</v>
      </c>
      <c r="G6" t="s">
        <v>13</v>
      </c>
      <c r="H6" t="s">
        <v>125</v>
      </c>
      <c r="I6" t="s">
        <v>123</v>
      </c>
      <c r="J6" s="47">
        <v>3.2381500000000001</v>
      </c>
      <c r="K6" s="47">
        <v>2.5073300000000001</v>
      </c>
      <c r="L6" s="47">
        <v>2.2280000000000002</v>
      </c>
      <c r="M6" s="47">
        <v>2.4342000000000001</v>
      </c>
      <c r="N6" s="47">
        <v>2.6953999999999998</v>
      </c>
      <c r="O6" s="47">
        <v>3.2265000000000001</v>
      </c>
      <c r="R6" t="s">
        <v>12</v>
      </c>
      <c r="S6" t="s">
        <v>126</v>
      </c>
      <c r="T6">
        <f t="shared" si="0"/>
        <v>1</v>
      </c>
    </row>
    <row r="7" spans="2:21">
      <c r="B7" t="s">
        <v>130</v>
      </c>
      <c r="D7" t="s">
        <v>14</v>
      </c>
      <c r="E7" t="s">
        <v>0</v>
      </c>
      <c r="F7" t="s">
        <v>124</v>
      </c>
      <c r="G7" t="s">
        <v>15</v>
      </c>
      <c r="H7" t="s">
        <v>125</v>
      </c>
      <c r="I7" t="s">
        <v>131</v>
      </c>
      <c r="J7" s="47">
        <v>3.41506</v>
      </c>
      <c r="K7" s="47">
        <v>2.8240500000000002</v>
      </c>
      <c r="L7" s="47">
        <v>2.5876000000000001</v>
      </c>
      <c r="M7" s="47">
        <v>2.9148000000000001</v>
      </c>
      <c r="N7" s="47">
        <v>3.3031000000000001</v>
      </c>
      <c r="O7" s="47">
        <v>3.8727999999999998</v>
      </c>
      <c r="R7" t="s">
        <v>14</v>
      </c>
      <c r="S7" t="s">
        <v>126</v>
      </c>
      <c r="T7">
        <f t="shared" si="0"/>
        <v>1</v>
      </c>
    </row>
    <row r="8" spans="2:21">
      <c r="B8" t="s">
        <v>132</v>
      </c>
      <c r="D8" t="s">
        <v>16</v>
      </c>
      <c r="E8" t="s">
        <v>133</v>
      </c>
      <c r="F8" t="s">
        <v>124</v>
      </c>
      <c r="G8" t="s">
        <v>18</v>
      </c>
      <c r="H8" t="s">
        <v>125</v>
      </c>
      <c r="I8" t="s">
        <v>133</v>
      </c>
      <c r="J8" s="47">
        <v>2.58E-2</v>
      </c>
      <c r="K8" s="47">
        <v>1.8808999999999999E-2</v>
      </c>
      <c r="L8" s="47">
        <v>2.0500000000000001E-2</v>
      </c>
      <c r="M8" s="47">
        <v>2.4309999999999998E-2</v>
      </c>
      <c r="N8" s="47">
        <v>2.3720000000000001E-2</v>
      </c>
      <c r="O8" s="47">
        <v>2.2329999999999999E-2</v>
      </c>
      <c r="R8" t="s">
        <v>16</v>
      </c>
      <c r="S8" t="s">
        <v>126</v>
      </c>
      <c r="T8">
        <f t="shared" si="0"/>
        <v>1</v>
      </c>
    </row>
    <row r="9" spans="2:21">
      <c r="B9" t="s">
        <v>134</v>
      </c>
      <c r="D9" t="s">
        <v>2</v>
      </c>
      <c r="E9" t="s">
        <v>0</v>
      </c>
      <c r="F9" t="s">
        <v>124</v>
      </c>
      <c r="G9" t="s">
        <v>21</v>
      </c>
      <c r="H9" t="s">
        <v>125</v>
      </c>
      <c r="I9" t="s">
        <v>135</v>
      </c>
      <c r="J9" s="47">
        <v>1.91275</v>
      </c>
      <c r="K9" s="47">
        <v>1.6586000000000001</v>
      </c>
      <c r="L9" s="47">
        <v>1.67</v>
      </c>
      <c r="M9" s="47">
        <v>1.8401000000000001</v>
      </c>
      <c r="N9" s="47">
        <v>2.0546000000000002</v>
      </c>
      <c r="O9" s="47">
        <v>2.2031000000000001</v>
      </c>
      <c r="R9" t="s">
        <v>2</v>
      </c>
      <c r="S9" t="s">
        <v>126</v>
      </c>
      <c r="T9">
        <f t="shared" si="0"/>
        <v>1</v>
      </c>
    </row>
    <row r="10" spans="2:21">
      <c r="B10" t="s">
        <v>136</v>
      </c>
      <c r="D10" t="s">
        <v>19</v>
      </c>
      <c r="E10" t="s">
        <v>0</v>
      </c>
      <c r="F10" t="s">
        <v>124</v>
      </c>
      <c r="G10" t="s">
        <v>20</v>
      </c>
      <c r="H10" t="s">
        <v>125</v>
      </c>
      <c r="R10" t="s">
        <v>19</v>
      </c>
      <c r="S10" t="s">
        <v>126</v>
      </c>
      <c r="T10">
        <f t="shared" si="0"/>
        <v>1</v>
      </c>
    </row>
    <row r="11" spans="2:21">
      <c r="B11" t="s">
        <v>137</v>
      </c>
      <c r="D11" t="s">
        <v>4</v>
      </c>
      <c r="E11" t="s">
        <v>0</v>
      </c>
      <c r="F11" t="s">
        <v>124</v>
      </c>
      <c r="G11" t="s">
        <v>25</v>
      </c>
      <c r="H11" t="s">
        <v>125</v>
      </c>
      <c r="R11" t="s">
        <v>4</v>
      </c>
      <c r="S11" t="s">
        <v>126</v>
      </c>
      <c r="T11">
        <f t="shared" si="0"/>
        <v>1</v>
      </c>
    </row>
    <row r="12" spans="2:21">
      <c r="B12" t="s">
        <v>138</v>
      </c>
      <c r="D12" t="s">
        <v>22</v>
      </c>
      <c r="E12" t="s">
        <v>110</v>
      </c>
      <c r="F12" t="s">
        <v>124</v>
      </c>
      <c r="G12" t="s">
        <v>30</v>
      </c>
      <c r="R12" t="s">
        <v>22</v>
      </c>
      <c r="S12" t="s">
        <v>126</v>
      </c>
      <c r="T12">
        <f t="shared" si="0"/>
        <v>1</v>
      </c>
    </row>
    <row r="13" spans="2:21">
      <c r="B13" t="s">
        <v>139</v>
      </c>
      <c r="D13" t="s">
        <v>24</v>
      </c>
      <c r="E13" t="s">
        <v>131</v>
      </c>
      <c r="F13" t="s">
        <v>124</v>
      </c>
      <c r="G13" t="s">
        <v>34</v>
      </c>
      <c r="R13" t="s">
        <v>24</v>
      </c>
      <c r="S13" t="s">
        <v>126</v>
      </c>
      <c r="T13">
        <f t="shared" si="0"/>
        <v>1</v>
      </c>
    </row>
    <row r="14" spans="2:21">
      <c r="B14" t="s">
        <v>140</v>
      </c>
      <c r="D14" t="s">
        <v>26</v>
      </c>
      <c r="E14" t="s">
        <v>131</v>
      </c>
      <c r="F14" t="s">
        <v>124</v>
      </c>
      <c r="G14" t="s">
        <v>48</v>
      </c>
      <c r="R14" t="s">
        <v>26</v>
      </c>
      <c r="S14" t="s">
        <v>126</v>
      </c>
      <c r="T14">
        <f t="shared" si="0"/>
        <v>1</v>
      </c>
    </row>
    <row r="15" spans="2:21">
      <c r="B15" t="s">
        <v>141</v>
      </c>
      <c r="D15" t="s">
        <v>28</v>
      </c>
      <c r="E15" t="s">
        <v>0</v>
      </c>
      <c r="F15" t="s">
        <v>124</v>
      </c>
      <c r="G15" t="s">
        <v>50</v>
      </c>
      <c r="R15" t="s">
        <v>28</v>
      </c>
      <c r="S15" t="s">
        <v>126</v>
      </c>
      <c r="T15">
        <f t="shared" si="0"/>
        <v>1</v>
      </c>
    </row>
    <row r="16" spans="2:21">
      <c r="B16" t="s">
        <v>142</v>
      </c>
      <c r="D16" t="s">
        <v>29</v>
      </c>
      <c r="E16" t="s">
        <v>110</v>
      </c>
      <c r="F16" t="s">
        <v>124</v>
      </c>
      <c r="G16" t="s">
        <v>44</v>
      </c>
      <c r="R16" t="s">
        <v>29</v>
      </c>
      <c r="S16" t="s">
        <v>126</v>
      </c>
      <c r="T16">
        <f t="shared" si="0"/>
        <v>1</v>
      </c>
    </row>
    <row r="17" spans="2:20">
      <c r="B17" t="s">
        <v>143</v>
      </c>
      <c r="D17" t="s">
        <v>31</v>
      </c>
      <c r="E17" t="s">
        <v>110</v>
      </c>
      <c r="F17" t="s">
        <v>124</v>
      </c>
      <c r="G17" t="s">
        <v>42</v>
      </c>
      <c r="R17" t="s">
        <v>31</v>
      </c>
      <c r="S17" t="s">
        <v>126</v>
      </c>
      <c r="T17">
        <f t="shared" si="0"/>
        <v>1</v>
      </c>
    </row>
    <row r="18" spans="2:20">
      <c r="B18" t="s">
        <v>144</v>
      </c>
      <c r="D18" t="s">
        <v>33</v>
      </c>
      <c r="E18" t="s">
        <v>110</v>
      </c>
      <c r="F18" t="s">
        <v>124</v>
      </c>
      <c r="G18" t="s">
        <v>145</v>
      </c>
      <c r="R18" t="s">
        <v>33</v>
      </c>
      <c r="S18" t="s">
        <v>126</v>
      </c>
      <c r="T18">
        <f t="shared" si="0"/>
        <v>1</v>
      </c>
    </row>
    <row r="19" spans="2:20">
      <c r="B19" t="s">
        <v>146</v>
      </c>
      <c r="D19" t="s">
        <v>35</v>
      </c>
      <c r="E19" t="s">
        <v>110</v>
      </c>
      <c r="F19" t="s">
        <v>124</v>
      </c>
      <c r="G19" t="s">
        <v>36</v>
      </c>
      <c r="R19" t="s">
        <v>35</v>
      </c>
      <c r="S19" t="s">
        <v>126</v>
      </c>
      <c r="T19">
        <f t="shared" si="0"/>
        <v>1</v>
      </c>
    </row>
    <row r="20" spans="2:20">
      <c r="B20" t="s">
        <v>147</v>
      </c>
      <c r="D20" t="s">
        <v>37</v>
      </c>
      <c r="E20" t="s">
        <v>123</v>
      </c>
      <c r="F20" t="s">
        <v>124</v>
      </c>
      <c r="G20" t="s">
        <v>38</v>
      </c>
      <c r="R20" t="s">
        <v>37</v>
      </c>
      <c r="S20" t="s">
        <v>126</v>
      </c>
      <c r="T20">
        <f t="shared" si="0"/>
        <v>1</v>
      </c>
    </row>
    <row r="21" spans="2:20">
      <c r="B21" t="s">
        <v>148</v>
      </c>
      <c r="D21" t="s">
        <v>39</v>
      </c>
      <c r="E21" t="s">
        <v>123</v>
      </c>
      <c r="F21" t="s">
        <v>124</v>
      </c>
      <c r="G21" t="s">
        <v>40</v>
      </c>
      <c r="R21" t="s">
        <v>149</v>
      </c>
      <c r="T21">
        <f t="shared" si="0"/>
        <v>0</v>
      </c>
    </row>
    <row r="22" spans="2:20">
      <c r="B22" t="s">
        <v>150</v>
      </c>
      <c r="D22" t="s">
        <v>41</v>
      </c>
      <c r="E22" t="s">
        <v>131</v>
      </c>
      <c r="F22" t="s">
        <v>124</v>
      </c>
      <c r="G22" t="s">
        <v>46</v>
      </c>
      <c r="R22" t="s">
        <v>39</v>
      </c>
      <c r="S22" t="s">
        <v>126</v>
      </c>
      <c r="T22">
        <f t="shared" si="0"/>
        <v>1</v>
      </c>
    </row>
    <row r="23" spans="2:20">
      <c r="B23" t="s">
        <v>151</v>
      </c>
      <c r="D23" t="s">
        <v>43</v>
      </c>
      <c r="E23" t="s">
        <v>135</v>
      </c>
      <c r="R23" t="s">
        <v>41</v>
      </c>
      <c r="S23" t="s">
        <v>126</v>
      </c>
      <c r="T23">
        <f t="shared" si="0"/>
        <v>1</v>
      </c>
    </row>
    <row r="24" spans="2:20">
      <c r="B24" t="s">
        <v>152</v>
      </c>
      <c r="D24" t="s">
        <v>45</v>
      </c>
      <c r="E24" t="s">
        <v>0</v>
      </c>
      <c r="R24" t="s">
        <v>43</v>
      </c>
      <c r="S24" t="s">
        <v>126</v>
      </c>
      <c r="T24">
        <f t="shared" si="0"/>
        <v>1</v>
      </c>
    </row>
    <row r="25" spans="2:20">
      <c r="B25" t="s">
        <v>153</v>
      </c>
      <c r="D25" t="s">
        <v>47</v>
      </c>
      <c r="E25" t="s">
        <v>133</v>
      </c>
      <c r="R25" t="s">
        <v>45</v>
      </c>
      <c r="S25" t="s">
        <v>126</v>
      </c>
      <c r="T25">
        <f t="shared" si="0"/>
        <v>1</v>
      </c>
    </row>
    <row r="26" spans="2:20">
      <c r="B26" t="s">
        <v>154</v>
      </c>
      <c r="D26" t="s">
        <v>49</v>
      </c>
      <c r="E26" t="s">
        <v>0</v>
      </c>
      <c r="R26" t="s">
        <v>47</v>
      </c>
      <c r="S26" t="s">
        <v>126</v>
      </c>
      <c r="T26">
        <f t="shared" si="0"/>
        <v>1</v>
      </c>
    </row>
    <row r="27" spans="2:20">
      <c r="B27" t="s">
        <v>155</v>
      </c>
    </row>
    <row r="28" spans="2:20">
      <c r="B28" t="s">
        <v>156</v>
      </c>
    </row>
    <row r="29" spans="2:20">
      <c r="B29" t="s">
        <v>157</v>
      </c>
    </row>
    <row r="30" spans="2:20">
      <c r="B30" t="s">
        <v>158</v>
      </c>
    </row>
    <row r="31" spans="2:20">
      <c r="B31" t="s">
        <v>159</v>
      </c>
    </row>
    <row r="32" spans="2:20">
      <c r="B32" t="s">
        <v>160</v>
      </c>
    </row>
    <row r="33" spans="2:2">
      <c r="B33" t="s">
        <v>161</v>
      </c>
    </row>
    <row r="34" spans="2:2">
      <c r="B34" t="s">
        <v>162</v>
      </c>
    </row>
    <row r="35" spans="2:2">
      <c r="B35" t="s">
        <v>163</v>
      </c>
    </row>
    <row r="36" spans="2:2">
      <c r="B36" t="s">
        <v>164</v>
      </c>
    </row>
    <row r="37" spans="2:2">
      <c r="B37" t="s">
        <v>165</v>
      </c>
    </row>
    <row r="38" spans="2:2">
      <c r="B38" t="s">
        <v>166</v>
      </c>
    </row>
    <row r="39" spans="2:2">
      <c r="B39" t="s">
        <v>167</v>
      </c>
    </row>
    <row r="40" spans="2:2">
      <c r="B40" t="s">
        <v>168</v>
      </c>
    </row>
    <row r="41" spans="2:2">
      <c r="B41" t="s">
        <v>169</v>
      </c>
    </row>
    <row r="42" spans="2:2">
      <c r="B42" t="s">
        <v>170</v>
      </c>
    </row>
    <row r="43" spans="2:2">
      <c r="B43" t="s">
        <v>171</v>
      </c>
    </row>
    <row r="44" spans="2:2">
      <c r="B44" t="s">
        <v>172</v>
      </c>
    </row>
    <row r="45" spans="2:2">
      <c r="B45" t="s">
        <v>173</v>
      </c>
    </row>
    <row r="46" spans="2:2">
      <c r="B46" t="s">
        <v>174</v>
      </c>
    </row>
    <row r="47" spans="2:2">
      <c r="B47" t="s">
        <v>175</v>
      </c>
    </row>
    <row r="48" spans="2:2">
      <c r="B48" t="s">
        <v>176</v>
      </c>
    </row>
    <row r="49" spans="2:2">
      <c r="B49" t="s">
        <v>177</v>
      </c>
    </row>
    <row r="50" spans="2:2">
      <c r="B50" t="s">
        <v>178</v>
      </c>
    </row>
    <row r="51" spans="2:2">
      <c r="B51" t="s">
        <v>179</v>
      </c>
    </row>
    <row r="52" spans="2:2">
      <c r="B52" t="s">
        <v>180</v>
      </c>
    </row>
    <row r="53" spans="2:2">
      <c r="B53" t="s">
        <v>181</v>
      </c>
    </row>
    <row r="54" spans="2:2">
      <c r="B54" t="s">
        <v>182</v>
      </c>
    </row>
    <row r="55" spans="2:2">
      <c r="B55" t="s">
        <v>183</v>
      </c>
    </row>
    <row r="56" spans="2:2">
      <c r="B56" t="s">
        <v>184</v>
      </c>
    </row>
    <row r="57" spans="2:2">
      <c r="B57" t="s">
        <v>185</v>
      </c>
    </row>
    <row r="58" spans="2:2">
      <c r="B58" t="s">
        <v>186</v>
      </c>
    </row>
    <row r="59" spans="2:2">
      <c r="B59" t="s">
        <v>187</v>
      </c>
    </row>
    <row r="60" spans="2:2">
      <c r="B60" t="s">
        <v>188</v>
      </c>
    </row>
    <row r="61" spans="2:2">
      <c r="B61" t="s">
        <v>189</v>
      </c>
    </row>
    <row r="62" spans="2:2">
      <c r="B62" t="s">
        <v>190</v>
      </c>
    </row>
    <row r="63" spans="2:2">
      <c r="B63" t="s">
        <v>191</v>
      </c>
    </row>
    <row r="64" spans="2:2">
      <c r="B64" t="s">
        <v>192</v>
      </c>
    </row>
    <row r="65" spans="2:2">
      <c r="B65" t="s">
        <v>193</v>
      </c>
    </row>
    <row r="66" spans="2:2">
      <c r="B66" t="s">
        <v>194</v>
      </c>
    </row>
    <row r="67" spans="2:2">
      <c r="B67" t="s">
        <v>195</v>
      </c>
    </row>
    <row r="68" spans="2:2">
      <c r="B68" t="s">
        <v>196</v>
      </c>
    </row>
    <row r="69" spans="2:2">
      <c r="B69" t="s">
        <v>197</v>
      </c>
    </row>
    <row r="70" spans="2:2">
      <c r="B70" t="s">
        <v>198</v>
      </c>
    </row>
    <row r="71" spans="2:2">
      <c r="B71" t="s">
        <v>199</v>
      </c>
    </row>
    <row r="72" spans="2:2">
      <c r="B72" t="s">
        <v>200</v>
      </c>
    </row>
    <row r="73" spans="2:2">
      <c r="B73" t="s">
        <v>201</v>
      </c>
    </row>
    <row r="74" spans="2:2">
      <c r="B74" t="s">
        <v>202</v>
      </c>
    </row>
    <row r="75" spans="2:2">
      <c r="B75" t="s">
        <v>203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Plan17">
    <tabColor theme="0" tint="-0.249977111117893"/>
  </sheetPr>
  <dimension ref="B1:R459"/>
  <sheetViews>
    <sheetView workbookViewId="0">
      <selection activeCell="A11" sqref="A11"/>
    </sheetView>
  </sheetViews>
  <sheetFormatPr defaultRowHeight="15"/>
  <cols>
    <col min="2" max="2" width="10.42578125" bestFit="1" customWidth="1"/>
    <col min="3" max="3" width="10.28515625" bestFit="1" customWidth="1"/>
    <col min="4" max="4" width="30.7109375" bestFit="1" customWidth="1"/>
    <col min="5" max="5" width="12.28515625" customWidth="1"/>
    <col min="6" max="10" width="10.140625" bestFit="1" customWidth="1"/>
  </cols>
  <sheetData>
    <row r="1" spans="2:18">
      <c r="F1" s="48" t="s">
        <v>204</v>
      </c>
      <c r="G1" s="48"/>
      <c r="H1" s="48"/>
      <c r="I1" s="48"/>
      <c r="J1" s="48"/>
      <c r="M1" t="str">
        <f>'Report#2'!B2</f>
        <v>USD</v>
      </c>
      <c r="N1" s="48" t="str">
        <f>"INFORMATION CONVERTED TO "&amp;M1</f>
        <v>INFORMATION CONVERTED TO USD</v>
      </c>
      <c r="O1" s="48"/>
      <c r="P1" s="48"/>
      <c r="Q1" s="48"/>
      <c r="R1" s="48"/>
    </row>
    <row r="2" spans="2:18">
      <c r="B2" s="44">
        <v>440</v>
      </c>
      <c r="N2">
        <v>3</v>
      </c>
      <c r="O2">
        <f>N2+1</f>
        <v>4</v>
      </c>
      <c r="P2">
        <f>O2+1</f>
        <v>5</v>
      </c>
      <c r="Q2">
        <f>P2+1</f>
        <v>6</v>
      </c>
      <c r="R2">
        <f>Q2+1</f>
        <v>7</v>
      </c>
    </row>
    <row r="3" spans="2:18">
      <c r="B3" s="49" t="s">
        <v>205</v>
      </c>
      <c r="C3" s="49" t="s">
        <v>120</v>
      </c>
      <c r="D3" s="49" t="s">
        <v>206</v>
      </c>
      <c r="E3" s="49" t="s">
        <v>207</v>
      </c>
      <c r="F3" s="50">
        <v>2009</v>
      </c>
      <c r="G3" s="50">
        <f>F3+1</f>
        <v>2010</v>
      </c>
      <c r="H3" s="50">
        <f>G3+1</f>
        <v>2011</v>
      </c>
      <c r="I3" s="50">
        <f>H3+1</f>
        <v>2012</v>
      </c>
      <c r="J3" s="50">
        <f>I3+1</f>
        <v>2013</v>
      </c>
      <c r="L3" s="49" t="s">
        <v>208</v>
      </c>
      <c r="M3" s="49" t="s">
        <v>209</v>
      </c>
      <c r="N3" s="50">
        <f>F3</f>
        <v>2009</v>
      </c>
      <c r="O3" s="50">
        <f>G3</f>
        <v>2010</v>
      </c>
      <c r="P3" s="50">
        <f>H3</f>
        <v>2011</v>
      </c>
      <c r="Q3" s="50">
        <f>I3</f>
        <v>2012</v>
      </c>
      <c r="R3" s="50">
        <f>J3</f>
        <v>2013</v>
      </c>
    </row>
    <row r="4" spans="2:18">
      <c r="B4" t="s">
        <v>8</v>
      </c>
      <c r="C4" t="s">
        <v>124</v>
      </c>
      <c r="D4" t="s">
        <v>9</v>
      </c>
      <c r="E4" t="s">
        <v>210</v>
      </c>
      <c r="F4" s="51">
        <v>13.13</v>
      </c>
      <c r="G4" s="51">
        <v>12.7</v>
      </c>
      <c r="H4" s="51">
        <v>18.32</v>
      </c>
      <c r="I4" s="51">
        <v>18.46</v>
      </c>
      <c r="J4" s="51">
        <v>20.25</v>
      </c>
      <c r="L4" t="str">
        <f>VLOOKUP(B4,TABLE!D:E,2,FALSE)</f>
        <v>EUR</v>
      </c>
      <c r="M4" t="str">
        <f>IF(M$1="LC",L4,M$1)</f>
        <v>USD</v>
      </c>
      <c r="N4" s="51">
        <f>VLOOKUP($L4,TABLE!$I$3:$O$13,N$2,FALSE)/VLOOKUP($M4,TABLE!$I$3:$O$13,N$2,FALSE)*F4</f>
        <v>18.907215081552952</v>
      </c>
      <c r="O4" s="51">
        <f>VLOOKUP($L4,TABLE!$I$3:$O$13,O$2,FALSE)/VLOOKUP($M4,TABLE!$I$3:$O$13,O$2,FALSE)*G4</f>
        <v>16.982114992197818</v>
      </c>
      <c r="P4" s="51">
        <f>VLOOKUP($L4,TABLE!$I$3:$O$13,P$2,FALSE)/VLOOKUP($M4,TABLE!$I$3:$O$13,P$2,FALSE)*H4</f>
        <v>23.773613391619577</v>
      </c>
      <c r="Q4" s="51">
        <f>VLOOKUP($L4,TABLE!$I$3:$O$13,Q$2,FALSE)/VLOOKUP($M4,TABLE!$I$3:$O$13,Q$2,FALSE)*I4</f>
        <v>24.348952287741618</v>
      </c>
      <c r="R4" s="51">
        <f>VLOOKUP($L4,TABLE!$I$3:$O$13,R$2,FALSE)/VLOOKUP($M4,TABLE!$I$3:$O$13,R$2,FALSE)*J4</f>
        <v>27.890645009818151</v>
      </c>
    </row>
    <row r="5" spans="2:18">
      <c r="B5" t="s">
        <v>8</v>
      </c>
      <c r="C5" t="s">
        <v>124</v>
      </c>
      <c r="D5" t="s">
        <v>11</v>
      </c>
      <c r="E5" t="s">
        <v>211</v>
      </c>
      <c r="F5" s="51">
        <v>3.65</v>
      </c>
      <c r="G5" s="51">
        <v>2.2599999999999998</v>
      </c>
      <c r="H5" s="51">
        <v>2.63</v>
      </c>
      <c r="I5" s="51">
        <v>2.7</v>
      </c>
      <c r="J5" s="51">
        <v>2.41</v>
      </c>
      <c r="L5" t="str">
        <f>VLOOKUP(B5,TABLE!D:E,2,FALSE)</f>
        <v>EUR</v>
      </c>
      <c r="M5" t="str">
        <f t="shared" ref="M5:M68" si="0">IF(M$1="LC",L5,M$1)</f>
        <v>USD</v>
      </c>
      <c r="N5" s="51">
        <f>VLOOKUP($L5,TABLE!$I$3:$O$13,N$2,FALSE)/VLOOKUP($M5,TABLE!$I$3:$O$13,N$2,FALSE)*F5</f>
        <v>5.256004192510912</v>
      </c>
      <c r="O5" s="51">
        <f>VLOOKUP($L5,TABLE!$I$3:$O$13,O$2,FALSE)/VLOOKUP($M5,TABLE!$I$3:$O$13,O$2,FALSE)*G5</f>
        <v>3.0220141639659106</v>
      </c>
      <c r="P5" s="51">
        <f>VLOOKUP($L5,TABLE!$I$3:$O$13,P$2,FALSE)/VLOOKUP($M5,TABLE!$I$3:$O$13,P$2,FALSE)*H5</f>
        <v>3.4129150229235528</v>
      </c>
      <c r="Q5" s="51">
        <f>VLOOKUP($L5,TABLE!$I$3:$O$13,Q$2,FALSE)/VLOOKUP($M5,TABLE!$I$3:$O$13,Q$2,FALSE)*I5</f>
        <v>3.5613310496696844</v>
      </c>
      <c r="R5" s="51">
        <f>VLOOKUP($L5,TABLE!$I$3:$O$13,R$2,FALSE)/VLOOKUP($M5,TABLE!$I$3:$O$13,R$2,FALSE)*J5</f>
        <v>3.3193310851190985</v>
      </c>
    </row>
    <row r="6" spans="2:18">
      <c r="B6" t="s">
        <v>8</v>
      </c>
      <c r="C6" t="s">
        <v>124</v>
      </c>
      <c r="D6" t="s">
        <v>13</v>
      </c>
      <c r="E6" t="s">
        <v>212</v>
      </c>
      <c r="F6" s="51">
        <v>8.75</v>
      </c>
      <c r="G6" s="51">
        <v>4.4400000000000004</v>
      </c>
      <c r="H6" s="51">
        <v>9.1199999999999992</v>
      </c>
      <c r="I6" s="51">
        <v>9.3000000000000007</v>
      </c>
      <c r="J6" s="51">
        <v>10.23</v>
      </c>
      <c r="L6" t="str">
        <f>VLOOKUP(B6,TABLE!D:E,2,FALSE)</f>
        <v>EUR</v>
      </c>
      <c r="M6" t="str">
        <f t="shared" si="0"/>
        <v>USD</v>
      </c>
      <c r="N6" s="51">
        <f>VLOOKUP($L6,TABLE!$I$3:$O$13,N$2,FALSE)/VLOOKUP($M6,TABLE!$I$3:$O$13,N$2,FALSE)*F6</f>
        <v>12.600010050539858</v>
      </c>
      <c r="O6" s="51">
        <f>VLOOKUP($L6,TABLE!$I$3:$O$13,O$2,FALSE)/VLOOKUP($M6,TABLE!$I$3:$O$13,O$2,FALSE)*G6</f>
        <v>5.9370543752250651</v>
      </c>
      <c r="P6" s="51">
        <f>VLOOKUP($L6,TABLE!$I$3:$O$13,P$2,FALSE)/VLOOKUP($M6,TABLE!$I$3:$O$13,P$2,FALSE)*H6</f>
        <v>11.834899242989657</v>
      </c>
      <c r="Q6" s="51">
        <f>VLOOKUP($L6,TABLE!$I$3:$O$13,Q$2,FALSE)/VLOOKUP($M6,TABLE!$I$3:$O$13,Q$2,FALSE)*I6</f>
        <v>12.266806948862246</v>
      </c>
      <c r="R6" s="51">
        <f>VLOOKUP($L6,TABLE!$I$3:$O$13,R$2,FALSE)/VLOOKUP($M6,TABLE!$I$3:$O$13,R$2,FALSE)*J6</f>
        <v>14.089940664219244</v>
      </c>
    </row>
    <row r="7" spans="2:18">
      <c r="B7" t="s">
        <v>8</v>
      </c>
      <c r="C7" t="s">
        <v>124</v>
      </c>
      <c r="D7" t="s">
        <v>15</v>
      </c>
      <c r="E7" t="s">
        <v>213</v>
      </c>
      <c r="F7" s="51">
        <v>41.67</v>
      </c>
      <c r="G7" s="51">
        <v>29.78</v>
      </c>
      <c r="H7" s="51">
        <v>36.49</v>
      </c>
      <c r="I7" s="51">
        <v>36.590000000000003</v>
      </c>
      <c r="J7" s="51">
        <v>39.15</v>
      </c>
      <c r="L7" t="str">
        <f>VLOOKUP(B7,TABLE!D:E,2,FALSE)</f>
        <v>EUR</v>
      </c>
      <c r="M7" t="str">
        <f t="shared" si="0"/>
        <v>USD</v>
      </c>
      <c r="N7" s="51">
        <f>VLOOKUP($L7,TABLE!$I$3:$O$13,N$2,FALSE)/VLOOKUP($M7,TABLE!$I$3:$O$13,N$2,FALSE)*F7</f>
        <v>60.004847863542388</v>
      </c>
      <c r="O7" s="51">
        <f>VLOOKUP($L7,TABLE!$I$3:$O$13,O$2,FALSE)/VLOOKUP($M7,TABLE!$I$3:$O$13,O$2,FALSE)*G7</f>
        <v>39.821053895090635</v>
      </c>
      <c r="P7" s="51">
        <f>VLOOKUP($L7,TABLE!$I$3:$O$13,P$2,FALSE)/VLOOKUP($M7,TABLE!$I$3:$O$13,P$2,FALSE)*H7</f>
        <v>47.352573835163668</v>
      </c>
      <c r="Q7" s="51">
        <f>VLOOKUP($L7,TABLE!$I$3:$O$13,Q$2,FALSE)/VLOOKUP($M7,TABLE!$I$3:$O$13,Q$2,FALSE)*I7</f>
        <v>48.262630780523608</v>
      </c>
      <c r="R7" s="51">
        <f>VLOOKUP($L7,TABLE!$I$3:$O$13,R$2,FALSE)/VLOOKUP($M7,TABLE!$I$3:$O$13,R$2,FALSE)*J7</f>
        <v>53.92191368564842</v>
      </c>
    </row>
    <row r="8" spans="2:18">
      <c r="B8" t="s">
        <v>8</v>
      </c>
      <c r="C8" t="s">
        <v>124</v>
      </c>
      <c r="D8" t="s">
        <v>18</v>
      </c>
      <c r="E8" t="s">
        <v>214</v>
      </c>
      <c r="F8" s="51">
        <v>67.239999999999995</v>
      </c>
      <c r="G8" s="51">
        <v>73.44</v>
      </c>
      <c r="H8" s="51">
        <v>80.03</v>
      </c>
      <c r="I8" s="51">
        <v>82.11</v>
      </c>
      <c r="J8" s="51">
        <v>86.77</v>
      </c>
      <c r="L8" t="str">
        <f>VLOOKUP(B8,TABLE!D:E,2,FALSE)</f>
        <v>EUR</v>
      </c>
      <c r="M8" t="str">
        <f t="shared" si="0"/>
        <v>USD</v>
      </c>
      <c r="N8" s="51">
        <f>VLOOKUP($L8,TABLE!$I$3:$O$13,N$2,FALSE)/VLOOKUP($M8,TABLE!$I$3:$O$13,N$2,FALSE)*F8</f>
        <v>96.82567723409143</v>
      </c>
      <c r="O8" s="51">
        <f>VLOOKUP($L8,TABLE!$I$3:$O$13,O$2,FALSE)/VLOOKUP($M8,TABLE!$I$3:$O$13,O$2,FALSE)*G8</f>
        <v>98.202088584803761</v>
      </c>
      <c r="P8" s="51">
        <f>VLOOKUP($L8,TABLE!$I$3:$O$13,P$2,FALSE)/VLOOKUP($M8,TABLE!$I$3:$O$13,P$2,FALSE)*H8</f>
        <v>103.85383622987527</v>
      </c>
      <c r="Q8" s="51">
        <f>VLOOKUP($L8,TABLE!$I$3:$O$13,Q$2,FALSE)/VLOOKUP($M8,TABLE!$I$3:$O$13,Q$2,FALSE)*I8</f>
        <v>108.30403425495473</v>
      </c>
      <c r="R8" s="51">
        <f>VLOOKUP($L8,TABLE!$I$3:$O$13,R$2,FALSE)/VLOOKUP($M8,TABLE!$I$3:$O$13,R$2,FALSE)*J8</f>
        <v>119.50969222231707</v>
      </c>
    </row>
    <row r="9" spans="2:18">
      <c r="B9" t="s">
        <v>8</v>
      </c>
      <c r="C9" t="s">
        <v>124</v>
      </c>
      <c r="D9" t="s">
        <v>21</v>
      </c>
      <c r="E9" t="s">
        <v>215</v>
      </c>
      <c r="F9" s="51">
        <v>29.61</v>
      </c>
      <c r="G9" s="51">
        <v>21.52</v>
      </c>
      <c r="H9" s="51">
        <v>30.67</v>
      </c>
      <c r="I9" s="51">
        <v>30.38</v>
      </c>
      <c r="J9" s="51">
        <v>33.630000000000003</v>
      </c>
      <c r="L9" t="str">
        <f>VLOOKUP(B9,TABLE!D:E,2,FALSE)</f>
        <v>EUR</v>
      </c>
      <c r="M9" t="str">
        <f t="shared" si="0"/>
        <v>USD</v>
      </c>
      <c r="N9" s="51">
        <f>VLOOKUP($L9,TABLE!$I$3:$O$13,N$2,FALSE)/VLOOKUP($M9,TABLE!$I$3:$O$13,N$2,FALSE)*F9</f>
        <v>42.638434011026874</v>
      </c>
      <c r="O9" s="51">
        <f>VLOOKUP($L9,TABLE!$I$3:$O$13,O$2,FALSE)/VLOOKUP($M9,TABLE!$I$3:$O$13,O$2,FALSE)*G9</f>
        <v>28.775993278117877</v>
      </c>
      <c r="P9" s="51">
        <f>VLOOKUP($L9,TABLE!$I$3:$O$13,P$2,FALSE)/VLOOKUP($M9,TABLE!$I$3:$O$13,P$2,FALSE)*H9</f>
        <v>39.800039449834742</v>
      </c>
      <c r="Q9" s="51">
        <f>VLOOKUP($L9,TABLE!$I$3:$O$13,Q$2,FALSE)/VLOOKUP($M9,TABLE!$I$3:$O$13,Q$2,FALSE)*I9</f>
        <v>40.071569366283335</v>
      </c>
      <c r="R9" s="51">
        <f>VLOOKUP($L9,TABLE!$I$3:$O$13,R$2,FALSE)/VLOOKUP($M9,TABLE!$I$3:$O$13,R$2,FALSE)*J9</f>
        <v>46.319130453342439</v>
      </c>
    </row>
    <row r="10" spans="2:18">
      <c r="B10" t="s">
        <v>8</v>
      </c>
      <c r="C10" t="s">
        <v>124</v>
      </c>
      <c r="D10" t="s">
        <v>20</v>
      </c>
      <c r="E10" t="s">
        <v>216</v>
      </c>
      <c r="F10" s="51">
        <v>12.3</v>
      </c>
      <c r="G10" s="51">
        <v>9.35</v>
      </c>
      <c r="H10" s="51">
        <v>16.399999999999999</v>
      </c>
      <c r="I10" s="51">
        <v>16.559999999999999</v>
      </c>
      <c r="J10" s="51">
        <v>17.239999999999998</v>
      </c>
      <c r="L10" t="str">
        <f>VLOOKUP(B10,TABLE!D:E,2,FALSE)</f>
        <v>EUR</v>
      </c>
      <c r="M10" t="str">
        <f t="shared" si="0"/>
        <v>USD</v>
      </c>
      <c r="N10" s="51">
        <f>VLOOKUP($L10,TABLE!$I$3:$O$13,N$2,FALSE)/VLOOKUP($M10,TABLE!$I$3:$O$13,N$2,FALSE)*F10</f>
        <v>17.712014128187459</v>
      </c>
      <c r="O10" s="51">
        <f>VLOOKUP($L10,TABLE!$I$3:$O$13,O$2,FALSE)/VLOOKUP($M10,TABLE!$I$3:$O$13,O$2,FALSE)*G10</f>
        <v>12.50258072260233</v>
      </c>
      <c r="P10" s="51">
        <f>VLOOKUP($L10,TABLE!$I$3:$O$13,P$2,FALSE)/VLOOKUP($M10,TABLE!$I$3:$O$13,P$2,FALSE)*H10</f>
        <v>21.282055656253331</v>
      </c>
      <c r="Q10" s="51">
        <f>VLOOKUP($L10,TABLE!$I$3:$O$13,Q$2,FALSE)/VLOOKUP($M10,TABLE!$I$3:$O$13,Q$2,FALSE)*I10</f>
        <v>21.842830437974062</v>
      </c>
      <c r="R10" s="51">
        <f>VLOOKUP($L10,TABLE!$I$3:$O$13,R$2,FALSE)/VLOOKUP($M10,TABLE!$I$3:$O$13,R$2,FALSE)*J10</f>
        <v>23.74492444292666</v>
      </c>
    </row>
    <row r="11" spans="2:18">
      <c r="B11" t="s">
        <v>8</v>
      </c>
      <c r="C11" t="s">
        <v>124</v>
      </c>
      <c r="D11" t="s">
        <v>25</v>
      </c>
      <c r="E11" t="s">
        <v>217</v>
      </c>
      <c r="F11" s="51">
        <v>11.12</v>
      </c>
      <c r="G11" s="51">
        <v>12.46</v>
      </c>
      <c r="H11" s="51">
        <v>12.26</v>
      </c>
      <c r="I11" s="51">
        <v>8.3699999999999992</v>
      </c>
      <c r="J11" s="51">
        <v>12.58</v>
      </c>
      <c r="L11" t="str">
        <f>VLOOKUP(B11,TABLE!D:E,2,FALSE)</f>
        <v>EUR</v>
      </c>
      <c r="M11" t="str">
        <f t="shared" si="0"/>
        <v>USD</v>
      </c>
      <c r="N11" s="51">
        <f>VLOOKUP($L11,TABLE!$I$3:$O$13,N$2,FALSE)/VLOOKUP($M11,TABLE!$I$3:$O$13,N$2,FALSE)*F11</f>
        <v>16.012812772800366</v>
      </c>
      <c r="O11" s="51">
        <f>VLOOKUP($L11,TABLE!$I$3:$O$13,O$2,FALSE)/VLOOKUP($M11,TABLE!$I$3:$O$13,O$2,FALSE)*G11</f>
        <v>16.661193134077546</v>
      </c>
      <c r="P11" s="51">
        <f>VLOOKUP($L11,TABLE!$I$3:$O$13,P$2,FALSE)/VLOOKUP($M11,TABLE!$I$3:$O$13,P$2,FALSE)*H11</f>
        <v>15.909634289369871</v>
      </c>
      <c r="Q11" s="51">
        <f>VLOOKUP($L11,TABLE!$I$3:$O$13,Q$2,FALSE)/VLOOKUP($M11,TABLE!$I$3:$O$13,Q$2,FALSE)*I11</f>
        <v>11.04012625397602</v>
      </c>
      <c r="R11" s="51">
        <f>VLOOKUP($L11,TABLE!$I$3:$O$13,R$2,FALSE)/VLOOKUP($M11,TABLE!$I$3:$O$13,R$2,FALSE)*J11</f>
        <v>17.326632801161104</v>
      </c>
    </row>
    <row r="12" spans="2:18">
      <c r="B12" t="s">
        <v>8</v>
      </c>
      <c r="C12" t="s">
        <v>124</v>
      </c>
      <c r="D12" t="s">
        <v>30</v>
      </c>
      <c r="E12" t="s">
        <v>218</v>
      </c>
      <c r="F12" s="51">
        <v>32.68</v>
      </c>
      <c r="G12" s="51">
        <v>35.880000000000003</v>
      </c>
      <c r="H12" s="51">
        <v>59.56</v>
      </c>
      <c r="I12" s="51">
        <v>83.96</v>
      </c>
      <c r="J12" s="51">
        <v>86.82</v>
      </c>
      <c r="L12" t="str">
        <f>VLOOKUP(B12,TABLE!D:E,2,FALSE)</f>
        <v>EUR</v>
      </c>
      <c r="M12" t="str">
        <f t="shared" si="0"/>
        <v>USD</v>
      </c>
      <c r="N12" s="51">
        <f>VLOOKUP($L12,TABLE!$I$3:$O$13,N$2,FALSE)/VLOOKUP($M12,TABLE!$I$3:$O$13,N$2,FALSE)*F12</f>
        <v>47.059237537330574</v>
      </c>
      <c r="O12" s="51">
        <f>VLOOKUP($L12,TABLE!$I$3:$O$13,O$2,FALSE)/VLOOKUP($M12,TABLE!$I$3:$O$13,O$2,FALSE)*G12</f>
        <v>47.977817788980929</v>
      </c>
      <c r="P12" s="51">
        <f>VLOOKUP($L12,TABLE!$I$3:$O$13,P$2,FALSE)/VLOOKUP($M12,TABLE!$I$3:$O$13,P$2,FALSE)*H12</f>
        <v>77.290197249173701</v>
      </c>
      <c r="Q12" s="51">
        <f>VLOOKUP($L12,TABLE!$I$3:$O$13,Q$2,FALSE)/VLOOKUP($M12,TABLE!$I$3:$O$13,Q$2,FALSE)*I12</f>
        <v>110.74420552972839</v>
      </c>
      <c r="R12" s="51">
        <f>VLOOKUP($L12,TABLE!$I$3:$O$13,R$2,FALSE)/VLOOKUP($M12,TABLE!$I$3:$O$13,R$2,FALSE)*J12</f>
        <v>119.57855801246477</v>
      </c>
    </row>
    <row r="13" spans="2:18">
      <c r="B13" t="s">
        <v>8</v>
      </c>
      <c r="C13" t="s">
        <v>124</v>
      </c>
      <c r="D13" t="s">
        <v>34</v>
      </c>
      <c r="E13" t="s">
        <v>219</v>
      </c>
      <c r="F13" s="51">
        <v>4.43</v>
      </c>
      <c r="G13" s="51">
        <v>5.16</v>
      </c>
      <c r="H13" s="51">
        <v>8.23</v>
      </c>
      <c r="I13" s="51">
        <v>11.64</v>
      </c>
      <c r="J13" s="51">
        <v>11.36</v>
      </c>
      <c r="L13" t="str">
        <f>VLOOKUP(B13,TABLE!D:E,2,FALSE)</f>
        <v>EUR</v>
      </c>
      <c r="M13" t="str">
        <f t="shared" si="0"/>
        <v>USD</v>
      </c>
      <c r="N13" s="51">
        <f>VLOOKUP($L13,TABLE!$I$3:$O$13,N$2,FALSE)/VLOOKUP($M13,TABLE!$I$3:$O$13,N$2,FALSE)*F13</f>
        <v>6.37920508844475</v>
      </c>
      <c r="O13" s="51">
        <f>VLOOKUP($L13,TABLE!$I$3:$O$13,O$2,FALSE)/VLOOKUP($M13,TABLE!$I$3:$O$13,O$2,FALSE)*G13</f>
        <v>6.8998199495858854</v>
      </c>
      <c r="P13" s="51">
        <f>VLOOKUP($L13,TABLE!$I$3:$O$13,P$2,FALSE)/VLOOKUP($M13,TABLE!$I$3:$O$13,P$2,FALSE)*H13</f>
        <v>10.679958417741766</v>
      </c>
      <c r="Q13" s="51">
        <f>VLOOKUP($L13,TABLE!$I$3:$O$13,Q$2,FALSE)/VLOOKUP($M13,TABLE!$I$3:$O$13,Q$2,FALSE)*I13</f>
        <v>15.353293858575972</v>
      </c>
      <c r="R13" s="51">
        <f>VLOOKUP($L13,TABLE!$I$3:$O$13,R$2,FALSE)/VLOOKUP($M13,TABLE!$I$3:$O$13,R$2,FALSE)*J13</f>
        <v>15.646307521557242</v>
      </c>
    </row>
    <row r="14" spans="2:18">
      <c r="B14" t="s">
        <v>8</v>
      </c>
      <c r="C14" t="s">
        <v>124</v>
      </c>
      <c r="D14" t="s">
        <v>48</v>
      </c>
      <c r="E14" t="s">
        <v>220</v>
      </c>
      <c r="F14" s="51">
        <v>-0.33500000000000002</v>
      </c>
      <c r="G14" s="51">
        <v>0.14199999999999999</v>
      </c>
      <c r="H14" s="51">
        <v>1.33</v>
      </c>
      <c r="I14" s="51">
        <v>4.3999999999999997E-2</v>
      </c>
      <c r="J14" s="51">
        <v>0.90400000000000003</v>
      </c>
      <c r="L14" t="str">
        <f>VLOOKUP(B14,TABLE!D:E,2,FALSE)</f>
        <v>EUR</v>
      </c>
      <c r="M14" t="str">
        <f t="shared" si="0"/>
        <v>USD</v>
      </c>
      <c r="N14" s="51">
        <f>VLOOKUP($L14,TABLE!$I$3:$O$13,N$2,FALSE)/VLOOKUP($M14,TABLE!$I$3:$O$13,N$2,FALSE)*F14</f>
        <v>-0.4824003847920974</v>
      </c>
      <c r="O14" s="51">
        <f>VLOOKUP($L14,TABLE!$I$3:$O$13,O$2,FALSE)/VLOOKUP($M14,TABLE!$I$3:$O$13,O$2,FALSE)*G14</f>
        <v>0.18987876605449527</v>
      </c>
      <c r="P14" s="51">
        <f>VLOOKUP($L14,TABLE!$I$3:$O$13,P$2,FALSE)/VLOOKUP($M14,TABLE!$I$3:$O$13,P$2,FALSE)*H14</f>
        <v>1.7259228062693253</v>
      </c>
      <c r="Q14" s="51">
        <f>VLOOKUP($L14,TABLE!$I$3:$O$13,Q$2,FALSE)/VLOOKUP($M14,TABLE!$I$3:$O$13,Q$2,FALSE)*I14</f>
        <v>5.8036505994617071E-2</v>
      </c>
      <c r="R14" s="51">
        <f>VLOOKUP($L14,TABLE!$I$3:$O$13,R$2,FALSE)/VLOOKUP($M14,TABLE!$I$3:$O$13,R$2,FALSE)*J14</f>
        <v>1.2450934858704004</v>
      </c>
    </row>
    <row r="15" spans="2:18">
      <c r="B15" t="s">
        <v>8</v>
      </c>
      <c r="C15" t="s">
        <v>124</v>
      </c>
      <c r="D15" t="s">
        <v>50</v>
      </c>
      <c r="E15" t="s">
        <v>221</v>
      </c>
      <c r="F15" s="51">
        <v>2.77</v>
      </c>
      <c r="G15" s="51">
        <v>3.3</v>
      </c>
      <c r="H15" s="51">
        <v>5.8</v>
      </c>
      <c r="I15" s="51">
        <v>7.83</v>
      </c>
      <c r="J15" s="51">
        <v>7.92</v>
      </c>
      <c r="L15" t="str">
        <f>VLOOKUP(B15,TABLE!D:E,2,FALSE)</f>
        <v>EUR</v>
      </c>
      <c r="M15" t="str">
        <f t="shared" si="0"/>
        <v>USD</v>
      </c>
      <c r="N15" s="51">
        <f>VLOOKUP($L15,TABLE!$I$3:$O$13,N$2,FALSE)/VLOOKUP($M15,TABLE!$I$3:$O$13,N$2,FALSE)*F15</f>
        <v>3.9888031817137608</v>
      </c>
      <c r="O15" s="51">
        <f>VLOOKUP($L15,TABLE!$I$3:$O$13,O$2,FALSE)/VLOOKUP($M15,TABLE!$I$3:$O$13,O$2,FALSE)*G15</f>
        <v>4.4126755491537635</v>
      </c>
      <c r="P15" s="51">
        <f>VLOOKUP($L15,TABLE!$I$3:$O$13,P$2,FALSE)/VLOOKUP($M15,TABLE!$I$3:$O$13,P$2,FALSE)*H15</f>
        <v>7.5265806589188617</v>
      </c>
      <c r="Q15" s="51">
        <f>VLOOKUP($L15,TABLE!$I$3:$O$13,Q$2,FALSE)/VLOOKUP($M15,TABLE!$I$3:$O$13,Q$2,FALSE)*I15</f>
        <v>10.327860044042083</v>
      </c>
      <c r="R15" s="51">
        <f>VLOOKUP($L15,TABLE!$I$3:$O$13,R$2,FALSE)/VLOOKUP($M15,TABLE!$I$3:$O$13,R$2,FALSE)*J15</f>
        <v>10.908341159395542</v>
      </c>
    </row>
    <row r="16" spans="2:18">
      <c r="B16" t="s">
        <v>8</v>
      </c>
      <c r="C16" t="s">
        <v>124</v>
      </c>
      <c r="D16" t="s">
        <v>44</v>
      </c>
      <c r="E16" t="s">
        <v>222</v>
      </c>
      <c r="F16" s="51">
        <v>0.61399999999999999</v>
      </c>
      <c r="G16" s="51">
        <v>0.66800000000000004</v>
      </c>
      <c r="H16" s="51">
        <v>1.07</v>
      </c>
      <c r="I16" s="51">
        <v>2.14</v>
      </c>
      <c r="J16" s="51">
        <v>2.17</v>
      </c>
      <c r="L16" t="str">
        <f>VLOOKUP(B16,TABLE!D:E,2,FALSE)</f>
        <v>EUR</v>
      </c>
      <c r="M16" t="str">
        <f t="shared" si="0"/>
        <v>USD</v>
      </c>
      <c r="N16" s="51">
        <f>VLOOKUP($L16,TABLE!$I$3:$O$13,N$2,FALSE)/VLOOKUP($M16,TABLE!$I$3:$O$13,N$2,FALSE)*F16</f>
        <v>0.88416070526073964</v>
      </c>
      <c r="O16" s="51">
        <f>VLOOKUP($L16,TABLE!$I$3:$O$13,O$2,FALSE)/VLOOKUP($M16,TABLE!$I$3:$O$13,O$2,FALSE)*G16</f>
        <v>0.8932325051014286</v>
      </c>
      <c r="P16" s="51">
        <f>VLOOKUP($L16,TABLE!$I$3:$O$13,P$2,FALSE)/VLOOKUP($M16,TABLE!$I$3:$O$13,P$2,FALSE)*H16</f>
        <v>1.3885243629384798</v>
      </c>
      <c r="Q16" s="51">
        <f>VLOOKUP($L16,TABLE!$I$3:$O$13,Q$2,FALSE)/VLOOKUP($M16,TABLE!$I$3:$O$13,Q$2,FALSE)*I16</f>
        <v>2.8226846097381944</v>
      </c>
      <c r="R16" s="51">
        <f>VLOOKUP($L16,TABLE!$I$3:$O$13,R$2,FALSE)/VLOOKUP($M16,TABLE!$I$3:$O$13,R$2,FALSE)*J16</f>
        <v>2.9887752924101423</v>
      </c>
    </row>
    <row r="17" spans="2:18">
      <c r="B17" t="s">
        <v>8</v>
      </c>
      <c r="C17" t="s">
        <v>124</v>
      </c>
      <c r="D17" t="s">
        <v>42</v>
      </c>
      <c r="E17" t="s">
        <v>223</v>
      </c>
      <c r="F17" s="51">
        <v>5.6000000000000001E-2</v>
      </c>
      <c r="G17" s="51">
        <v>0.13200000000000001</v>
      </c>
      <c r="H17" s="51">
        <v>0.219</v>
      </c>
      <c r="I17" s="51">
        <v>0.26700000000000002</v>
      </c>
      <c r="J17" s="51">
        <v>0.21</v>
      </c>
      <c r="L17" t="str">
        <f>VLOOKUP(B17,TABLE!D:E,2,FALSE)</f>
        <v>EUR</v>
      </c>
      <c r="M17" t="str">
        <f t="shared" si="0"/>
        <v>USD</v>
      </c>
      <c r="N17" s="51">
        <f>VLOOKUP($L17,TABLE!$I$3:$O$13,N$2,FALSE)/VLOOKUP($M17,TABLE!$I$3:$O$13,N$2,FALSE)*F17</f>
        <v>8.0640064323455093E-2</v>
      </c>
      <c r="O17" s="51">
        <f>VLOOKUP($L17,TABLE!$I$3:$O$13,O$2,FALSE)/VLOOKUP($M17,TABLE!$I$3:$O$13,O$2,FALSE)*G17</f>
        <v>0.17650702196615056</v>
      </c>
      <c r="P17" s="51">
        <f>VLOOKUP($L17,TABLE!$I$3:$O$13,P$2,FALSE)/VLOOKUP($M17,TABLE!$I$3:$O$13,P$2,FALSE)*H17</f>
        <v>0.28419330419021221</v>
      </c>
      <c r="Q17" s="51">
        <f>VLOOKUP($L17,TABLE!$I$3:$O$13,Q$2,FALSE)/VLOOKUP($M17,TABLE!$I$3:$O$13,Q$2,FALSE)*I17</f>
        <v>0.35217607046733546</v>
      </c>
      <c r="R17" s="51">
        <f>VLOOKUP($L17,TABLE!$I$3:$O$13,R$2,FALSE)/VLOOKUP($M17,TABLE!$I$3:$O$13,R$2,FALSE)*J17</f>
        <v>0.28923631862033633</v>
      </c>
    </row>
    <row r="18" spans="2:18">
      <c r="B18" t="s">
        <v>8</v>
      </c>
      <c r="C18" t="s">
        <v>124</v>
      </c>
      <c r="D18" t="s">
        <v>145</v>
      </c>
      <c r="E18" t="s">
        <v>224</v>
      </c>
      <c r="F18" s="51"/>
      <c r="G18" s="51"/>
      <c r="H18" s="51"/>
      <c r="I18" s="51"/>
      <c r="J18" s="51"/>
      <c r="L18" t="str">
        <f>VLOOKUP(B18,TABLE!D:E,2,FALSE)</f>
        <v>EUR</v>
      </c>
      <c r="M18" t="str">
        <f t="shared" si="0"/>
        <v>USD</v>
      </c>
      <c r="N18" s="51">
        <f>VLOOKUP($L18,TABLE!$I$3:$O$13,N$2,FALSE)/VLOOKUP($M18,TABLE!$I$3:$O$13,N$2,FALSE)*F18</f>
        <v>0</v>
      </c>
      <c r="O18" s="51">
        <f>VLOOKUP($L18,TABLE!$I$3:$O$13,O$2,FALSE)/VLOOKUP($M18,TABLE!$I$3:$O$13,O$2,FALSE)*G18</f>
        <v>0</v>
      </c>
      <c r="P18" s="51">
        <f>VLOOKUP($L18,TABLE!$I$3:$O$13,P$2,FALSE)/VLOOKUP($M18,TABLE!$I$3:$O$13,P$2,FALSE)*H18</f>
        <v>0</v>
      </c>
      <c r="Q18" s="51">
        <f>VLOOKUP($L18,TABLE!$I$3:$O$13,Q$2,FALSE)/VLOOKUP($M18,TABLE!$I$3:$O$13,Q$2,FALSE)*I18</f>
        <v>0</v>
      </c>
      <c r="R18" s="51">
        <f>VLOOKUP($L18,TABLE!$I$3:$O$13,R$2,FALSE)/VLOOKUP($M18,TABLE!$I$3:$O$13,R$2,FALSE)*J18</f>
        <v>0</v>
      </c>
    </row>
    <row r="19" spans="2:18">
      <c r="B19" t="s">
        <v>8</v>
      </c>
      <c r="C19" t="s">
        <v>124</v>
      </c>
      <c r="D19" t="s">
        <v>36</v>
      </c>
      <c r="E19" t="s">
        <v>225</v>
      </c>
      <c r="F19" s="51">
        <v>3.68</v>
      </c>
      <c r="G19" s="51">
        <v>3.97</v>
      </c>
      <c r="H19" s="51">
        <v>5.78</v>
      </c>
      <c r="I19" s="51">
        <v>7.94</v>
      </c>
      <c r="J19" s="51">
        <v>8.01</v>
      </c>
      <c r="L19" t="str">
        <f>VLOOKUP(B19,TABLE!D:E,2,FALSE)</f>
        <v>EUR</v>
      </c>
      <c r="M19" t="str">
        <f t="shared" si="0"/>
        <v>USD</v>
      </c>
      <c r="N19" s="51">
        <f>VLOOKUP($L19,TABLE!$I$3:$O$13,N$2,FALSE)/VLOOKUP($M19,TABLE!$I$3:$O$13,N$2,FALSE)*F19</f>
        <v>5.2992042269699056</v>
      </c>
      <c r="O19" s="51">
        <f>VLOOKUP($L19,TABLE!$I$3:$O$13,O$2,FALSE)/VLOOKUP($M19,TABLE!$I$3:$O$13,O$2,FALSE)*G19</f>
        <v>5.3085824030728617</v>
      </c>
      <c r="P19" s="51">
        <f>VLOOKUP($L19,TABLE!$I$3:$O$13,P$2,FALSE)/VLOOKUP($M19,TABLE!$I$3:$O$13,P$2,FALSE)*H19</f>
        <v>7.5006269325087969</v>
      </c>
      <c r="Q19" s="51">
        <f>VLOOKUP($L19,TABLE!$I$3:$O$13,Q$2,FALSE)/VLOOKUP($M19,TABLE!$I$3:$O$13,Q$2,FALSE)*I19</f>
        <v>10.472951309028627</v>
      </c>
      <c r="R19" s="51">
        <f>VLOOKUP($L19,TABLE!$I$3:$O$13,R$2,FALSE)/VLOOKUP($M19,TABLE!$I$3:$O$13,R$2,FALSE)*J19</f>
        <v>11.032299581661402</v>
      </c>
    </row>
    <row r="20" spans="2:18">
      <c r="B20" t="s">
        <v>8</v>
      </c>
      <c r="C20" t="s">
        <v>124</v>
      </c>
      <c r="D20" t="s">
        <v>38</v>
      </c>
      <c r="E20" t="s">
        <v>226</v>
      </c>
      <c r="F20" s="51">
        <v>1.01</v>
      </c>
      <c r="G20" s="51">
        <v>1.01</v>
      </c>
      <c r="H20" s="51">
        <v>0.73699999999999999</v>
      </c>
      <c r="I20" s="51">
        <v>1.17</v>
      </c>
      <c r="J20" s="51">
        <v>1.32</v>
      </c>
      <c r="L20" t="str">
        <f>VLOOKUP(B20,TABLE!D:E,2,FALSE)</f>
        <v>EUR</v>
      </c>
      <c r="M20" t="str">
        <f t="shared" si="0"/>
        <v>USD</v>
      </c>
      <c r="N20" s="51">
        <f>VLOOKUP($L20,TABLE!$I$3:$O$13,N$2,FALSE)/VLOOKUP($M20,TABLE!$I$3:$O$13,N$2,FALSE)*F20</f>
        <v>1.4544011601194577</v>
      </c>
      <c r="O20" s="51">
        <f>VLOOKUP($L20,TABLE!$I$3:$O$13,O$2,FALSE)/VLOOKUP($M20,TABLE!$I$3:$O$13,O$2,FALSE)*G20</f>
        <v>1.3505461529228187</v>
      </c>
      <c r="P20" s="51">
        <f>VLOOKUP($L20,TABLE!$I$3:$O$13,P$2,FALSE)/VLOOKUP($M20,TABLE!$I$3:$O$13,P$2,FALSE)*H20</f>
        <v>0.95639481821089678</v>
      </c>
      <c r="Q20" s="51">
        <f>VLOOKUP($L20,TABLE!$I$3:$O$13,Q$2,FALSE)/VLOOKUP($M20,TABLE!$I$3:$O$13,Q$2,FALSE)*I20</f>
        <v>1.543243454856863</v>
      </c>
      <c r="R20" s="51">
        <f>VLOOKUP($L20,TABLE!$I$3:$O$13,R$2,FALSE)/VLOOKUP($M20,TABLE!$I$3:$O$13,R$2,FALSE)*J20</f>
        <v>1.8180568598992572</v>
      </c>
    </row>
    <row r="21" spans="2:18">
      <c r="B21" t="s">
        <v>8</v>
      </c>
      <c r="C21" t="s">
        <v>124</v>
      </c>
      <c r="D21" t="s">
        <v>40</v>
      </c>
      <c r="E21" t="s">
        <v>227</v>
      </c>
      <c r="F21" s="51">
        <v>2.67</v>
      </c>
      <c r="G21" s="51">
        <v>2.96</v>
      </c>
      <c r="H21" s="51">
        <v>5.05</v>
      </c>
      <c r="I21" s="51">
        <v>6.76</v>
      </c>
      <c r="J21" s="51">
        <v>6.69</v>
      </c>
      <c r="L21" t="str">
        <f>VLOOKUP(B21,TABLE!D:E,2,FALSE)</f>
        <v>EUR</v>
      </c>
      <c r="M21" t="str">
        <f t="shared" si="0"/>
        <v>USD</v>
      </c>
      <c r="N21" s="51">
        <f>VLOOKUP($L21,TABLE!$I$3:$O$13,N$2,FALSE)/VLOOKUP($M21,TABLE!$I$3:$O$13,N$2,FALSE)*F21</f>
        <v>3.8448030668504476</v>
      </c>
      <c r="O21" s="51">
        <f>VLOOKUP($L21,TABLE!$I$3:$O$13,O$2,FALSE)/VLOOKUP($M21,TABLE!$I$3:$O$13,O$2,FALSE)*G21</f>
        <v>3.9580362501500428</v>
      </c>
      <c r="P21" s="51">
        <f>VLOOKUP($L21,TABLE!$I$3:$O$13,P$2,FALSE)/VLOOKUP($M21,TABLE!$I$3:$O$13,P$2,FALSE)*H21</f>
        <v>6.5533159185414229</v>
      </c>
      <c r="Q21" s="51">
        <f>VLOOKUP($L21,TABLE!$I$3:$O$13,Q$2,FALSE)/VLOOKUP($M21,TABLE!$I$3:$O$13,Q$2,FALSE)*I21</f>
        <v>8.9165177391729866</v>
      </c>
      <c r="R21" s="51">
        <f>VLOOKUP($L21,TABLE!$I$3:$O$13,R$2,FALSE)/VLOOKUP($M21,TABLE!$I$3:$O$13,R$2,FALSE)*J21</f>
        <v>9.2142427217621456</v>
      </c>
    </row>
    <row r="22" spans="2:18">
      <c r="B22" t="s">
        <v>8</v>
      </c>
      <c r="C22" t="s">
        <v>124</v>
      </c>
      <c r="D22" t="s">
        <v>46</v>
      </c>
      <c r="E22" t="s">
        <v>228</v>
      </c>
      <c r="F22" s="51">
        <v>3.7999999999999999E-2</v>
      </c>
      <c r="G22" s="51">
        <v>0.58599999999999997</v>
      </c>
      <c r="H22" s="51">
        <v>2.04</v>
      </c>
      <c r="I22" s="51">
        <v>1.43</v>
      </c>
      <c r="J22" s="51">
        <v>0.92100000000000004</v>
      </c>
      <c r="L22" t="str">
        <f>VLOOKUP(B22,TABLE!D:E,2,FALSE)</f>
        <v>EUR</v>
      </c>
      <c r="M22" t="str">
        <f t="shared" si="0"/>
        <v>USD</v>
      </c>
      <c r="N22" s="51">
        <f>VLOOKUP($L22,TABLE!$I$3:$O$13,N$2,FALSE)/VLOOKUP($M22,TABLE!$I$3:$O$13,N$2,FALSE)*F22</f>
        <v>5.4720043648058811E-2</v>
      </c>
      <c r="O22" s="51">
        <f>VLOOKUP($L22,TABLE!$I$3:$O$13,O$2,FALSE)/VLOOKUP($M22,TABLE!$I$3:$O$13,O$2,FALSE)*G22</f>
        <v>0.78358420357700165</v>
      </c>
      <c r="P22" s="51">
        <f>VLOOKUP($L22,TABLE!$I$3:$O$13,P$2,FALSE)/VLOOKUP($M22,TABLE!$I$3:$O$13,P$2,FALSE)*H22</f>
        <v>2.6472800938266343</v>
      </c>
      <c r="Q22" s="51">
        <f>VLOOKUP($L22,TABLE!$I$3:$O$13,Q$2,FALSE)/VLOOKUP($M22,TABLE!$I$3:$O$13,Q$2,FALSE)*I22</f>
        <v>1.8861864448250547</v>
      </c>
      <c r="R22" s="51">
        <f>VLOOKUP($L22,TABLE!$I$3:$O$13,R$2,FALSE)/VLOOKUP($M22,TABLE!$I$3:$O$13,R$2,FALSE)*J22</f>
        <v>1.2685078545206181</v>
      </c>
    </row>
    <row r="23" spans="2:18">
      <c r="B23" t="s">
        <v>10</v>
      </c>
      <c r="C23" t="s">
        <v>124</v>
      </c>
      <c r="D23" t="s">
        <v>9</v>
      </c>
      <c r="E23" t="s">
        <v>229</v>
      </c>
      <c r="F23" s="51">
        <v>23.87</v>
      </c>
      <c r="G23" s="51">
        <v>25.09</v>
      </c>
      <c r="H23" s="51">
        <v>26.71</v>
      </c>
      <c r="I23" s="51">
        <v>29.02</v>
      </c>
      <c r="J23" s="51">
        <v>35.53</v>
      </c>
      <c r="L23" t="str">
        <f>VLOOKUP(B23,TABLE!D:E,2,FALSE)</f>
        <v>EUR</v>
      </c>
      <c r="M23" t="str">
        <f t="shared" si="0"/>
        <v>USD</v>
      </c>
      <c r="N23" s="51">
        <f>VLOOKUP($L23,TABLE!$I$3:$O$13,N$2,FALSE)/VLOOKUP($M23,TABLE!$I$3:$O$13,N$2,FALSE)*F23</f>
        <v>34.372827417872735</v>
      </c>
      <c r="O23" s="51">
        <f>VLOOKUP($L23,TABLE!$I$3:$O$13,O$2,FALSE)/VLOOKUP($M23,TABLE!$I$3:$O$13,O$2,FALSE)*G23</f>
        <v>33.549705917656951</v>
      </c>
      <c r="P23" s="51">
        <f>VLOOKUP($L23,TABLE!$I$3:$O$13,P$2,FALSE)/VLOOKUP($M23,TABLE!$I$3:$O$13,P$2,FALSE)*H23</f>
        <v>34.661201620641862</v>
      </c>
      <c r="Q23" s="51">
        <f>VLOOKUP($L23,TABLE!$I$3:$O$13,Q$2,FALSE)/VLOOKUP($M23,TABLE!$I$3:$O$13,Q$2,FALSE)*I23</f>
        <v>38.277713726449711</v>
      </c>
      <c r="R23" s="51">
        <f>VLOOKUP($L23,TABLE!$I$3:$O$13,R$2,FALSE)/VLOOKUP($M23,TABLE!$I$3:$O$13,R$2,FALSE)*J23</f>
        <v>48.936030478955004</v>
      </c>
    </row>
    <row r="24" spans="2:18">
      <c r="B24" t="s">
        <v>10</v>
      </c>
      <c r="C24" t="s">
        <v>124</v>
      </c>
      <c r="D24" t="s">
        <v>11</v>
      </c>
      <c r="E24" t="s">
        <v>230</v>
      </c>
      <c r="F24" s="51">
        <v>33.1</v>
      </c>
      <c r="G24" s="51">
        <v>37.049999999999997</v>
      </c>
      <c r="H24" s="51">
        <v>44.23</v>
      </c>
      <c r="I24" s="51">
        <v>47.01</v>
      </c>
      <c r="J24" s="51">
        <v>49.52</v>
      </c>
      <c r="L24" t="str">
        <f>VLOOKUP(B24,TABLE!D:E,2,FALSE)</f>
        <v>EUR</v>
      </c>
      <c r="M24" t="str">
        <f t="shared" si="0"/>
        <v>USD</v>
      </c>
      <c r="N24" s="51">
        <f>VLOOKUP($L24,TABLE!$I$3:$O$13,N$2,FALSE)/VLOOKUP($M24,TABLE!$I$3:$O$13,N$2,FALSE)*F24</f>
        <v>47.664038019756489</v>
      </c>
      <c r="O24" s="51">
        <f>VLOOKUP($L24,TABLE!$I$3:$O$13,O$2,FALSE)/VLOOKUP($M24,TABLE!$I$3:$O$13,O$2,FALSE)*G24</f>
        <v>49.542311847317258</v>
      </c>
      <c r="P24" s="51">
        <f>VLOOKUP($L24,TABLE!$I$3:$O$13,P$2,FALSE)/VLOOKUP($M24,TABLE!$I$3:$O$13,P$2,FALSE)*H24</f>
        <v>57.396665955858836</v>
      </c>
      <c r="Q24" s="51">
        <f>VLOOKUP($L24,TABLE!$I$3:$O$13,Q$2,FALSE)/VLOOKUP($M24,TABLE!$I$3:$O$13,Q$2,FALSE)*I24</f>
        <v>62.006730609248827</v>
      </c>
      <c r="R24" s="51">
        <f>VLOOKUP($L24,TABLE!$I$3:$O$13,R$2,FALSE)/VLOOKUP($M24,TABLE!$I$3:$O$13,R$2,FALSE)*J24</f>
        <v>68.204678562281231</v>
      </c>
    </row>
    <row r="25" spans="2:18">
      <c r="B25" t="s">
        <v>10</v>
      </c>
      <c r="C25" t="s">
        <v>124</v>
      </c>
      <c r="D25" t="s">
        <v>13</v>
      </c>
      <c r="E25" t="s">
        <v>231</v>
      </c>
      <c r="F25" s="51">
        <v>14.12</v>
      </c>
      <c r="G25" s="51">
        <v>17.63</v>
      </c>
      <c r="H25" s="51">
        <v>27.55</v>
      </c>
      <c r="I25" s="51">
        <v>28.67</v>
      </c>
      <c r="J25" s="51">
        <v>28.65</v>
      </c>
      <c r="L25" t="str">
        <f>VLOOKUP(B25,TABLE!D:E,2,FALSE)</f>
        <v>EUR</v>
      </c>
      <c r="M25" t="str">
        <f t="shared" si="0"/>
        <v>USD</v>
      </c>
      <c r="N25" s="51">
        <f>VLOOKUP($L25,TABLE!$I$3:$O$13,N$2,FALSE)/VLOOKUP($M25,TABLE!$I$3:$O$13,N$2,FALSE)*F25</f>
        <v>20.332816218699747</v>
      </c>
      <c r="O25" s="51">
        <f>VLOOKUP($L25,TABLE!$I$3:$O$13,O$2,FALSE)/VLOOKUP($M25,TABLE!$I$3:$O$13,O$2,FALSE)*G25</f>
        <v>23.574384827751775</v>
      </c>
      <c r="P25" s="51">
        <f>VLOOKUP($L25,TABLE!$I$3:$O$13,P$2,FALSE)/VLOOKUP($M25,TABLE!$I$3:$O$13,P$2,FALSE)*H25</f>
        <v>35.751258129864596</v>
      </c>
      <c r="Q25" s="51">
        <f>VLOOKUP($L25,TABLE!$I$3:$O$13,Q$2,FALSE)/VLOOKUP($M25,TABLE!$I$3:$O$13,Q$2,FALSE)*I25</f>
        <v>37.816059701492534</v>
      </c>
      <c r="R25" s="51">
        <f>VLOOKUP($L25,TABLE!$I$3:$O$13,R$2,FALSE)/VLOOKUP($M25,TABLE!$I$3:$O$13,R$2,FALSE)*J25</f>
        <v>39.460097754631605</v>
      </c>
    </row>
    <row r="26" spans="2:18">
      <c r="B26" t="s">
        <v>10</v>
      </c>
      <c r="C26" t="s">
        <v>124</v>
      </c>
      <c r="D26" t="s">
        <v>15</v>
      </c>
      <c r="E26" t="s">
        <v>232</v>
      </c>
      <c r="F26" s="51">
        <v>77.78</v>
      </c>
      <c r="G26" s="51">
        <v>85.94</v>
      </c>
      <c r="H26" s="51">
        <v>105.64</v>
      </c>
      <c r="I26" s="51">
        <v>113.06</v>
      </c>
      <c r="J26" s="51">
        <v>122.19</v>
      </c>
      <c r="L26" t="str">
        <f>VLOOKUP(B26,TABLE!D:E,2,FALSE)</f>
        <v>EUR</v>
      </c>
      <c r="M26" t="str">
        <f t="shared" si="0"/>
        <v>USD</v>
      </c>
      <c r="N26" s="51">
        <f>VLOOKUP($L26,TABLE!$I$3:$O$13,N$2,FALSE)/VLOOKUP($M26,TABLE!$I$3:$O$13,N$2,FALSE)*F26</f>
        <v>112.00328934068459</v>
      </c>
      <c r="O26" s="51">
        <f>VLOOKUP($L26,TABLE!$I$3:$O$13,O$2,FALSE)/VLOOKUP($M26,TABLE!$I$3:$O$13,O$2,FALSE)*G26</f>
        <v>114.91676869523468</v>
      </c>
      <c r="P26" s="51">
        <f>VLOOKUP($L26,TABLE!$I$3:$O$13,P$2,FALSE)/VLOOKUP($M26,TABLE!$I$3:$O$13,P$2,FALSE)*H26</f>
        <v>137.08758289796356</v>
      </c>
      <c r="Q26" s="51">
        <f>VLOOKUP($L26,TABLE!$I$3:$O$13,Q$2,FALSE)/VLOOKUP($M26,TABLE!$I$3:$O$13,Q$2,FALSE)*I26</f>
        <v>149.12744017616834</v>
      </c>
      <c r="R26" s="51">
        <f>VLOOKUP($L26,TABLE!$I$3:$O$13,R$2,FALSE)/VLOOKUP($M26,TABLE!$I$3:$O$13,R$2,FALSE)*J26</f>
        <v>168.29421796294713</v>
      </c>
    </row>
    <row r="27" spans="2:18">
      <c r="B27" t="s">
        <v>10</v>
      </c>
      <c r="C27" t="s">
        <v>124</v>
      </c>
      <c r="D27" t="s">
        <v>18</v>
      </c>
      <c r="E27" t="s">
        <v>233</v>
      </c>
      <c r="F27" s="51">
        <v>177.18</v>
      </c>
      <c r="G27" s="51">
        <v>199.39</v>
      </c>
      <c r="H27" s="51">
        <v>253.77</v>
      </c>
      <c r="I27" s="51">
        <v>309.52</v>
      </c>
      <c r="J27" s="51">
        <v>324.33</v>
      </c>
      <c r="L27" t="str">
        <f>VLOOKUP(B27,TABLE!D:E,2,FALSE)</f>
        <v>EUR</v>
      </c>
      <c r="M27" t="str">
        <f t="shared" si="0"/>
        <v>USD</v>
      </c>
      <c r="N27" s="51">
        <f>VLOOKUP($L27,TABLE!$I$3:$O$13,N$2,FALSE)/VLOOKUP($M27,TABLE!$I$3:$O$13,N$2,FALSE)*F27</f>
        <v>255.13940351481736</v>
      </c>
      <c r="O27" s="51">
        <f>VLOOKUP($L27,TABLE!$I$3:$O$13,O$2,FALSE)/VLOOKUP($M27,TABLE!$I$3:$O$13,O$2,FALSE)*G27</f>
        <v>266.61920537750575</v>
      </c>
      <c r="P27" s="51">
        <f>VLOOKUP($L27,TABLE!$I$3:$O$13,P$2,FALSE)/VLOOKUP($M27,TABLE!$I$3:$O$13,P$2,FALSE)*H27</f>
        <v>329.31385755411031</v>
      </c>
      <c r="Q27" s="51">
        <f>VLOOKUP($L27,TABLE!$I$3:$O$13,Q$2,FALSE)/VLOOKUP($M27,TABLE!$I$3:$O$13,Q$2,FALSE)*I27</f>
        <v>408.26043944213353</v>
      </c>
      <c r="R27" s="51">
        <f>VLOOKUP($L27,TABLE!$I$3:$O$13,R$2,FALSE)/VLOOKUP($M27,TABLE!$I$3:$O$13,R$2,FALSE)*J27</f>
        <v>446.70483437206519</v>
      </c>
    </row>
    <row r="28" spans="2:18">
      <c r="B28" t="s">
        <v>10</v>
      </c>
      <c r="C28" t="s">
        <v>124</v>
      </c>
      <c r="D28" t="s">
        <v>21</v>
      </c>
      <c r="E28" t="s">
        <v>234</v>
      </c>
      <c r="F28" s="51">
        <v>69.53</v>
      </c>
      <c r="G28" s="51">
        <v>76.900000000000006</v>
      </c>
      <c r="H28" s="51">
        <v>101.24</v>
      </c>
      <c r="I28" s="51">
        <v>105.53</v>
      </c>
      <c r="J28" s="51">
        <v>118.63</v>
      </c>
      <c r="L28" t="str">
        <f>VLOOKUP(B28,TABLE!D:E,2,FALSE)</f>
        <v>EUR</v>
      </c>
      <c r="M28" t="str">
        <f t="shared" si="0"/>
        <v>USD</v>
      </c>
      <c r="N28" s="51">
        <f>VLOOKUP($L28,TABLE!$I$3:$O$13,N$2,FALSE)/VLOOKUP($M28,TABLE!$I$3:$O$13,N$2,FALSE)*F28</f>
        <v>100.1232798644613</v>
      </c>
      <c r="O28" s="51">
        <f>VLOOKUP($L28,TABLE!$I$3:$O$13,O$2,FALSE)/VLOOKUP($M28,TABLE!$I$3:$O$13,O$2,FALSE)*G28</f>
        <v>102.82871203937106</v>
      </c>
      <c r="P28" s="51">
        <f>VLOOKUP($L28,TABLE!$I$3:$O$13,P$2,FALSE)/VLOOKUP($M28,TABLE!$I$3:$O$13,P$2,FALSE)*H28</f>
        <v>131.37776308774923</v>
      </c>
      <c r="Q28" s="51">
        <f>VLOOKUP($L28,TABLE!$I$3:$O$13,Q$2,FALSE)/VLOOKUP($M28,TABLE!$I$3:$O$13,Q$2,FALSE)*I28</f>
        <v>139.19528358208953</v>
      </c>
      <c r="R28" s="51">
        <f>VLOOKUP($L28,TABLE!$I$3:$O$13,R$2,FALSE)/VLOOKUP($M28,TABLE!$I$3:$O$13,R$2,FALSE)*J28</f>
        <v>163.39097370443096</v>
      </c>
    </row>
    <row r="29" spans="2:18">
      <c r="B29" t="s">
        <v>10</v>
      </c>
      <c r="C29" t="s">
        <v>124</v>
      </c>
      <c r="D29" t="s">
        <v>20</v>
      </c>
      <c r="E29" t="s">
        <v>235</v>
      </c>
      <c r="F29" s="51">
        <v>10.23</v>
      </c>
      <c r="G29" s="51">
        <v>12.54</v>
      </c>
      <c r="H29" s="51">
        <v>16.329999999999998</v>
      </c>
      <c r="I29" s="51">
        <v>17.27</v>
      </c>
      <c r="J29" s="51">
        <v>18.02</v>
      </c>
      <c r="L29" t="str">
        <f>VLOOKUP(B29,TABLE!D:E,2,FALSE)</f>
        <v>EUR</v>
      </c>
      <c r="M29" t="str">
        <f t="shared" si="0"/>
        <v>USD</v>
      </c>
      <c r="N29" s="51">
        <f>VLOOKUP($L29,TABLE!$I$3:$O$13,N$2,FALSE)/VLOOKUP($M29,TABLE!$I$3:$O$13,N$2,FALSE)*F29</f>
        <v>14.731211750516886</v>
      </c>
      <c r="O29" s="51">
        <f>VLOOKUP($L29,TABLE!$I$3:$O$13,O$2,FALSE)/VLOOKUP($M29,TABLE!$I$3:$O$13,O$2,FALSE)*G29</f>
        <v>16.768167086784302</v>
      </c>
      <c r="P29" s="51">
        <f>VLOOKUP($L29,TABLE!$I$3:$O$13,P$2,FALSE)/VLOOKUP($M29,TABLE!$I$3:$O$13,P$2,FALSE)*H29</f>
        <v>21.191217613818104</v>
      </c>
      <c r="Q29" s="51">
        <f>VLOOKUP($L29,TABLE!$I$3:$O$13,Q$2,FALSE)/VLOOKUP($M29,TABLE!$I$3:$O$13,Q$2,FALSE)*I29</f>
        <v>22.779328602887201</v>
      </c>
      <c r="R29" s="51">
        <f>VLOOKUP($L29,TABLE!$I$3:$O$13,R$2,FALSE)/VLOOKUP($M29,TABLE!$I$3:$O$13,R$2,FALSE)*J29</f>
        <v>24.819230769230767</v>
      </c>
    </row>
    <row r="30" spans="2:18">
      <c r="B30" t="s">
        <v>10</v>
      </c>
      <c r="C30" t="s">
        <v>124</v>
      </c>
      <c r="D30" t="s">
        <v>25</v>
      </c>
      <c r="E30" t="s">
        <v>236</v>
      </c>
      <c r="F30" s="51">
        <v>37.43</v>
      </c>
      <c r="G30" s="51">
        <v>48.71</v>
      </c>
      <c r="H30" s="51">
        <v>63.35</v>
      </c>
      <c r="I30" s="51">
        <v>82</v>
      </c>
      <c r="J30" s="51">
        <v>90.04</v>
      </c>
      <c r="L30" t="str">
        <f>VLOOKUP(B30,TABLE!D:E,2,FALSE)</f>
        <v>EUR</v>
      </c>
      <c r="M30" t="str">
        <f t="shared" si="0"/>
        <v>USD</v>
      </c>
      <c r="N30" s="51">
        <f>VLOOKUP($L30,TABLE!$I$3:$O$13,N$2,FALSE)/VLOOKUP($M30,TABLE!$I$3:$O$13,N$2,FALSE)*F30</f>
        <v>53.899242993337928</v>
      </c>
      <c r="O30" s="51">
        <f>VLOOKUP($L30,TABLE!$I$3:$O$13,O$2,FALSE)/VLOOKUP($M30,TABLE!$I$3:$O$13,O$2,FALSE)*G30</f>
        <v>65.133765454327232</v>
      </c>
      <c r="P30" s="51">
        <f>VLOOKUP($L30,TABLE!$I$3:$O$13,P$2,FALSE)/VLOOKUP($M30,TABLE!$I$3:$O$13,P$2,FALSE)*H30</f>
        <v>82.208428403881015</v>
      </c>
      <c r="Q30" s="51">
        <f>VLOOKUP($L30,TABLE!$I$3:$O$13,Q$2,FALSE)/VLOOKUP($M30,TABLE!$I$3:$O$13,Q$2,FALSE)*I30</f>
        <v>108.15894298996818</v>
      </c>
      <c r="R30" s="51">
        <f>VLOOKUP($L30,TABLE!$I$3:$O$13,R$2,FALSE)/VLOOKUP($M30,TABLE!$I$3:$O$13,R$2,FALSE)*J30</f>
        <v>124.01351489797661</v>
      </c>
    </row>
    <row r="31" spans="2:18">
      <c r="B31" t="s">
        <v>10</v>
      </c>
      <c r="C31" t="s">
        <v>124</v>
      </c>
      <c r="D31" t="s">
        <v>30</v>
      </c>
      <c r="E31" t="s">
        <v>237</v>
      </c>
      <c r="F31" s="51">
        <v>105.19</v>
      </c>
      <c r="G31" s="51">
        <v>126.88</v>
      </c>
      <c r="H31" s="51">
        <v>159.34</v>
      </c>
      <c r="I31" s="51">
        <v>192.68</v>
      </c>
      <c r="J31" s="51">
        <v>197.01</v>
      </c>
      <c r="L31" t="str">
        <f>VLOOKUP(B31,TABLE!D:E,2,FALSE)</f>
        <v>EUR</v>
      </c>
      <c r="M31" t="str">
        <f t="shared" si="0"/>
        <v>USD</v>
      </c>
      <c r="N31" s="51">
        <f>VLOOKUP($L31,TABLE!$I$3:$O$13,N$2,FALSE)/VLOOKUP($M31,TABLE!$I$3:$O$13,N$2,FALSE)*F31</f>
        <v>151.47372082471858</v>
      </c>
      <c r="O31" s="51">
        <f>VLOOKUP($L31,TABLE!$I$3:$O$13,O$2,FALSE)/VLOOKUP($M31,TABLE!$I$3:$O$13,O$2,FALSE)*G31</f>
        <v>169.66068899291804</v>
      </c>
      <c r="P31" s="51">
        <f>VLOOKUP($L31,TABLE!$I$3:$O$13,P$2,FALSE)/VLOOKUP($M31,TABLE!$I$3:$O$13,P$2,FALSE)*H31</f>
        <v>206.7733383089882</v>
      </c>
      <c r="Q31" s="51">
        <f>VLOOKUP($L31,TABLE!$I$3:$O$13,Q$2,FALSE)/VLOOKUP($M31,TABLE!$I$3:$O$13,Q$2,FALSE)*I31</f>
        <v>254.14713579642768</v>
      </c>
      <c r="R31" s="51">
        <f>VLOOKUP($L31,TABLE!$I$3:$O$13,R$2,FALSE)/VLOOKUP($M31,TABLE!$I$3:$O$13,R$2,FALSE)*J31</f>
        <v>271.34498633996412</v>
      </c>
    </row>
    <row r="32" spans="2:18">
      <c r="B32" t="s">
        <v>10</v>
      </c>
      <c r="C32" t="s">
        <v>124</v>
      </c>
      <c r="D32" t="s">
        <v>34</v>
      </c>
      <c r="E32" t="s">
        <v>238</v>
      </c>
      <c r="F32" s="51">
        <v>17.420000000000002</v>
      </c>
      <c r="G32" s="51">
        <v>19.86</v>
      </c>
      <c r="H32" s="51">
        <v>27.2</v>
      </c>
      <c r="I32" s="51">
        <v>33.450000000000003</v>
      </c>
      <c r="J32" s="51">
        <v>33.57</v>
      </c>
      <c r="L32" t="str">
        <f>VLOOKUP(B32,TABLE!D:E,2,FALSE)</f>
        <v>EUR</v>
      </c>
      <c r="M32" t="str">
        <f t="shared" si="0"/>
        <v>USD</v>
      </c>
      <c r="N32" s="51">
        <f>VLOOKUP($L32,TABLE!$I$3:$O$13,N$2,FALSE)/VLOOKUP($M32,TABLE!$I$3:$O$13,N$2,FALSE)*F32</f>
        <v>25.084820009189066</v>
      </c>
      <c r="O32" s="51">
        <f>VLOOKUP($L32,TABLE!$I$3:$O$13,O$2,FALSE)/VLOOKUP($M32,TABLE!$I$3:$O$13,O$2,FALSE)*G32</f>
        <v>26.556283759452651</v>
      </c>
      <c r="P32" s="51">
        <f>VLOOKUP($L32,TABLE!$I$3:$O$13,P$2,FALSE)/VLOOKUP($M32,TABLE!$I$3:$O$13,P$2,FALSE)*H32</f>
        <v>35.297067917688452</v>
      </c>
      <c r="Q32" s="51">
        <f>VLOOKUP($L32,TABLE!$I$3:$O$13,Q$2,FALSE)/VLOOKUP($M32,TABLE!$I$3:$O$13,Q$2,FALSE)*I32</f>
        <v>44.120934670907758</v>
      </c>
      <c r="R32" s="51">
        <f>VLOOKUP($L32,TABLE!$I$3:$O$13,R$2,FALSE)/VLOOKUP($M32,TABLE!$I$3:$O$13,R$2,FALSE)*J32</f>
        <v>46.236491505165198</v>
      </c>
    </row>
    <row r="33" spans="2:18">
      <c r="B33" t="s">
        <v>10</v>
      </c>
      <c r="C33" t="s">
        <v>124</v>
      </c>
      <c r="D33" t="s">
        <v>48</v>
      </c>
      <c r="E33" t="s">
        <v>239</v>
      </c>
      <c r="F33" s="51">
        <v>0.96</v>
      </c>
      <c r="G33" s="51">
        <v>6.84</v>
      </c>
      <c r="H33" s="51">
        <v>15.41</v>
      </c>
      <c r="I33" s="51">
        <v>21.71</v>
      </c>
      <c r="J33" s="51">
        <v>9.07</v>
      </c>
      <c r="L33" t="str">
        <f>VLOOKUP(B33,TABLE!D:E,2,FALSE)</f>
        <v>EUR</v>
      </c>
      <c r="M33" t="str">
        <f t="shared" si="0"/>
        <v>USD</v>
      </c>
      <c r="N33" s="51">
        <f>VLOOKUP($L33,TABLE!$I$3:$O$13,N$2,FALSE)/VLOOKUP($M33,TABLE!$I$3:$O$13,N$2,FALSE)*F33</f>
        <v>1.3824011026878014</v>
      </c>
      <c r="O33" s="51">
        <f>VLOOKUP($L33,TABLE!$I$3:$O$13,O$2,FALSE)/VLOOKUP($M33,TABLE!$I$3:$O$13,O$2,FALSE)*G33</f>
        <v>9.1462729564278007</v>
      </c>
      <c r="P33" s="51">
        <f>VLOOKUP($L33,TABLE!$I$3:$O$13,P$2,FALSE)/VLOOKUP($M33,TABLE!$I$3:$O$13,P$2,FALSE)*H33</f>
        <v>19.997346198955114</v>
      </c>
      <c r="Q33" s="51">
        <f>VLOOKUP($L33,TABLE!$I$3:$O$13,Q$2,FALSE)/VLOOKUP($M33,TABLE!$I$3:$O$13,Q$2,FALSE)*I33</f>
        <v>28.635739662344015</v>
      </c>
      <c r="R33" s="51">
        <f>VLOOKUP($L33,TABLE!$I$3:$O$13,R$2,FALSE)/VLOOKUP($M33,TABLE!$I$3:$O$13,R$2,FALSE)*J33</f>
        <v>12.492254332792623</v>
      </c>
    </row>
    <row r="34" spans="2:18">
      <c r="B34" t="s">
        <v>10</v>
      </c>
      <c r="C34" t="s">
        <v>124</v>
      </c>
      <c r="D34" t="s">
        <v>50</v>
      </c>
      <c r="E34" t="s">
        <v>240</v>
      </c>
      <c r="F34" s="51">
        <v>7.04</v>
      </c>
      <c r="G34" s="51">
        <v>13.42</v>
      </c>
      <c r="H34" s="51">
        <v>19.149999999999999</v>
      </c>
      <c r="I34" s="51">
        <v>23.14</v>
      </c>
      <c r="J34" s="51">
        <v>23.22</v>
      </c>
      <c r="L34" t="str">
        <f>VLOOKUP(B34,TABLE!D:E,2,FALSE)</f>
        <v>EUR</v>
      </c>
      <c r="M34" t="str">
        <f t="shared" si="0"/>
        <v>USD</v>
      </c>
      <c r="N34" s="51">
        <f>VLOOKUP($L34,TABLE!$I$3:$O$13,N$2,FALSE)/VLOOKUP($M34,TABLE!$I$3:$O$13,N$2,FALSE)*F34</f>
        <v>10.137608086377211</v>
      </c>
      <c r="O34" s="51">
        <f>VLOOKUP($L34,TABLE!$I$3:$O$13,O$2,FALSE)/VLOOKUP($M34,TABLE!$I$3:$O$13,O$2,FALSE)*G34</f>
        <v>17.944880566558641</v>
      </c>
      <c r="P34" s="51">
        <f>VLOOKUP($L34,TABLE!$I$3:$O$13,P$2,FALSE)/VLOOKUP($M34,TABLE!$I$3:$O$13,P$2,FALSE)*H34</f>
        <v>24.850693037637274</v>
      </c>
      <c r="Q34" s="51">
        <f>VLOOKUP($L34,TABLE!$I$3:$O$13,Q$2,FALSE)/VLOOKUP($M34,TABLE!$I$3:$O$13,Q$2,FALSE)*I34</f>
        <v>30.521926107169069</v>
      </c>
      <c r="R34" s="51">
        <f>VLOOKUP($L34,TABLE!$I$3:$O$13,R$2,FALSE)/VLOOKUP($M34,TABLE!$I$3:$O$13,R$2,FALSE)*J34</f>
        <v>31.981272944591478</v>
      </c>
    </row>
    <row r="35" spans="2:18">
      <c r="B35" t="s">
        <v>10</v>
      </c>
      <c r="C35" t="s">
        <v>124</v>
      </c>
      <c r="D35" t="s">
        <v>44</v>
      </c>
      <c r="E35" t="s">
        <v>241</v>
      </c>
      <c r="F35" s="51">
        <v>1.1499999999999999</v>
      </c>
      <c r="G35" s="51">
        <v>1.1499999999999999</v>
      </c>
      <c r="H35" s="51">
        <v>1.1499999999999999</v>
      </c>
      <c r="I35" s="51">
        <v>1.4</v>
      </c>
      <c r="J35" s="51">
        <v>1.51</v>
      </c>
      <c r="L35" t="str">
        <f>VLOOKUP(B35,TABLE!D:E,2,FALSE)</f>
        <v>EUR</v>
      </c>
      <c r="M35" t="str">
        <f t="shared" si="0"/>
        <v>USD</v>
      </c>
      <c r="N35" s="51">
        <f>VLOOKUP($L35,TABLE!$I$3:$O$13,N$2,FALSE)/VLOOKUP($M35,TABLE!$I$3:$O$13,N$2,FALSE)*F35</f>
        <v>1.6560013209280955</v>
      </c>
      <c r="O35" s="51">
        <f>VLOOKUP($L35,TABLE!$I$3:$O$13,O$2,FALSE)/VLOOKUP($M35,TABLE!$I$3:$O$13,O$2,FALSE)*G35</f>
        <v>1.5377505701596448</v>
      </c>
      <c r="P35" s="51">
        <f>VLOOKUP($L35,TABLE!$I$3:$O$13,P$2,FALSE)/VLOOKUP($M35,TABLE!$I$3:$O$13,P$2,FALSE)*H35</f>
        <v>1.4923392685787398</v>
      </c>
      <c r="Q35" s="51">
        <f>VLOOKUP($L35,TABLE!$I$3:$O$13,Q$2,FALSE)/VLOOKUP($M35,TABLE!$I$3:$O$13,Q$2,FALSE)*I35</f>
        <v>1.8466160998287249</v>
      </c>
      <c r="R35" s="51">
        <f>VLOOKUP($L35,TABLE!$I$3:$O$13,R$2,FALSE)/VLOOKUP($M35,TABLE!$I$3:$O$13,R$2,FALSE)*J35</f>
        <v>2.0797468624605138</v>
      </c>
    </row>
    <row r="36" spans="2:18">
      <c r="B36" t="s">
        <v>10</v>
      </c>
      <c r="C36" t="s">
        <v>124</v>
      </c>
      <c r="D36" t="s">
        <v>42</v>
      </c>
      <c r="E36" t="s">
        <v>242</v>
      </c>
      <c r="F36" s="51">
        <v>0.77200000000000002</v>
      </c>
      <c r="G36" s="51">
        <v>0.79300000000000004</v>
      </c>
      <c r="H36" s="51">
        <v>0.88500000000000001</v>
      </c>
      <c r="I36" s="51">
        <v>0.95699999999999996</v>
      </c>
      <c r="J36" s="51">
        <v>0.93300000000000005</v>
      </c>
      <c r="L36" t="str">
        <f>VLOOKUP(B36,TABLE!D:E,2,FALSE)</f>
        <v>EUR</v>
      </c>
      <c r="M36" t="str">
        <f t="shared" si="0"/>
        <v>USD</v>
      </c>
      <c r="N36" s="51">
        <f>VLOOKUP($L36,TABLE!$I$3:$O$13,N$2,FALSE)/VLOOKUP($M36,TABLE!$I$3:$O$13,N$2,FALSE)*F36</f>
        <v>1.1116808867447738</v>
      </c>
      <c r="O36" s="51">
        <f>VLOOKUP($L36,TABLE!$I$3:$O$13,O$2,FALSE)/VLOOKUP($M36,TABLE!$I$3:$O$13,O$2,FALSE)*G36</f>
        <v>1.0603793062057378</v>
      </c>
      <c r="P36" s="51">
        <f>VLOOKUP($L36,TABLE!$I$3:$O$13,P$2,FALSE)/VLOOKUP($M36,TABLE!$I$3:$O$13,P$2,FALSE)*H36</f>
        <v>1.1484523936453781</v>
      </c>
      <c r="Q36" s="51">
        <f>VLOOKUP($L36,TABLE!$I$3:$O$13,Q$2,FALSE)/VLOOKUP($M36,TABLE!$I$3:$O$13,Q$2,FALSE)*I36</f>
        <v>1.2622940053829212</v>
      </c>
      <c r="R36" s="51">
        <f>VLOOKUP($L36,TABLE!$I$3:$O$13,R$2,FALSE)/VLOOKUP($M36,TABLE!$I$3:$O$13,R$2,FALSE)*J36</f>
        <v>1.285035644156066</v>
      </c>
    </row>
    <row r="37" spans="2:18">
      <c r="B37" t="s">
        <v>10</v>
      </c>
      <c r="C37" t="s">
        <v>124</v>
      </c>
      <c r="D37" t="s">
        <v>145</v>
      </c>
      <c r="E37" t="s">
        <v>243</v>
      </c>
      <c r="F37" s="51"/>
      <c r="G37" s="51"/>
      <c r="H37" s="51"/>
      <c r="I37" s="51"/>
      <c r="J37" s="51"/>
      <c r="L37" t="str">
        <f>VLOOKUP(B37,TABLE!D:E,2,FALSE)</f>
        <v>EUR</v>
      </c>
      <c r="M37" t="str">
        <f t="shared" si="0"/>
        <v>USD</v>
      </c>
      <c r="N37" s="51">
        <f>VLOOKUP($L37,TABLE!$I$3:$O$13,N$2,FALSE)/VLOOKUP($M37,TABLE!$I$3:$O$13,N$2,FALSE)*F37</f>
        <v>0</v>
      </c>
      <c r="O37" s="51">
        <f>VLOOKUP($L37,TABLE!$I$3:$O$13,O$2,FALSE)/VLOOKUP($M37,TABLE!$I$3:$O$13,O$2,FALSE)*G37</f>
        <v>0</v>
      </c>
      <c r="P37" s="51">
        <f>VLOOKUP($L37,TABLE!$I$3:$O$13,P$2,FALSE)/VLOOKUP($M37,TABLE!$I$3:$O$13,P$2,FALSE)*H37</f>
        <v>0</v>
      </c>
      <c r="Q37" s="51">
        <f>VLOOKUP($L37,TABLE!$I$3:$O$13,Q$2,FALSE)/VLOOKUP($M37,TABLE!$I$3:$O$13,Q$2,FALSE)*I37</f>
        <v>0</v>
      </c>
      <c r="R37" s="51">
        <f>VLOOKUP($L37,TABLE!$I$3:$O$13,R$2,FALSE)/VLOOKUP($M37,TABLE!$I$3:$O$13,R$2,FALSE)*J37</f>
        <v>0</v>
      </c>
    </row>
    <row r="38" spans="2:18">
      <c r="B38" t="s">
        <v>10</v>
      </c>
      <c r="C38" t="s">
        <v>124</v>
      </c>
      <c r="D38" t="s">
        <v>36</v>
      </c>
      <c r="E38" t="s">
        <v>244</v>
      </c>
      <c r="F38" s="51">
        <v>18.8</v>
      </c>
      <c r="G38" s="51">
        <v>13.99</v>
      </c>
      <c r="H38" s="51">
        <v>18.18</v>
      </c>
      <c r="I38" s="51">
        <v>23.86</v>
      </c>
      <c r="J38" s="51">
        <v>25.06</v>
      </c>
      <c r="L38" t="str">
        <f>VLOOKUP(B38,TABLE!D:E,2,FALSE)</f>
        <v>EUR</v>
      </c>
      <c r="M38" t="str">
        <f t="shared" si="0"/>
        <v>USD</v>
      </c>
      <c r="N38" s="51">
        <f>VLOOKUP($L38,TABLE!$I$3:$O$13,N$2,FALSE)/VLOOKUP($M38,TABLE!$I$3:$O$13,N$2,FALSE)*F38</f>
        <v>27.072021594302779</v>
      </c>
      <c r="O38" s="51">
        <f>VLOOKUP($L38,TABLE!$I$3:$O$13,O$2,FALSE)/VLOOKUP($M38,TABLE!$I$3:$O$13,O$2,FALSE)*G38</f>
        <v>18.707069979594291</v>
      </c>
      <c r="P38" s="51">
        <f>VLOOKUP($L38,TABLE!$I$3:$O$13,P$2,FALSE)/VLOOKUP($M38,TABLE!$I$3:$O$13,P$2,FALSE)*H38</f>
        <v>23.591937306749124</v>
      </c>
      <c r="Q38" s="51">
        <f>VLOOKUP($L38,TABLE!$I$3:$O$13,Q$2,FALSE)/VLOOKUP($M38,TABLE!$I$3:$O$13,Q$2,FALSE)*I38</f>
        <v>31.471614387080987</v>
      </c>
      <c r="R38" s="51">
        <f>VLOOKUP($L38,TABLE!$I$3:$O$13,R$2,FALSE)/VLOOKUP($M38,TABLE!$I$3:$O$13,R$2,FALSE)*J38</f>
        <v>34.515534022026806</v>
      </c>
    </row>
    <row r="39" spans="2:18">
      <c r="B39" t="s">
        <v>10</v>
      </c>
      <c r="C39" t="s">
        <v>124</v>
      </c>
      <c r="D39" t="s">
        <v>38</v>
      </c>
      <c r="E39" t="s">
        <v>245</v>
      </c>
      <c r="F39" s="51">
        <v>3.84</v>
      </c>
      <c r="G39" s="51">
        <v>4.59</v>
      </c>
      <c r="H39" s="51">
        <v>5.73</v>
      </c>
      <c r="I39" s="51">
        <v>6.94</v>
      </c>
      <c r="J39" s="51">
        <v>7.81</v>
      </c>
      <c r="L39" t="str">
        <f>VLOOKUP(B39,TABLE!D:E,2,FALSE)</f>
        <v>EUR</v>
      </c>
      <c r="M39" t="str">
        <f t="shared" si="0"/>
        <v>USD</v>
      </c>
      <c r="N39" s="51">
        <f>VLOOKUP($L39,TABLE!$I$3:$O$13,N$2,FALSE)/VLOOKUP($M39,TABLE!$I$3:$O$13,N$2,FALSE)*F39</f>
        <v>5.5296044107512055</v>
      </c>
      <c r="O39" s="51">
        <f>VLOOKUP($L39,TABLE!$I$3:$O$13,O$2,FALSE)/VLOOKUP($M39,TABLE!$I$3:$O$13,O$2,FALSE)*G39</f>
        <v>6.137630536550235</v>
      </c>
      <c r="P39" s="51">
        <f>VLOOKUP($L39,TABLE!$I$3:$O$13,P$2,FALSE)/VLOOKUP($M39,TABLE!$I$3:$O$13,P$2,FALSE)*H39</f>
        <v>7.4357426164836351</v>
      </c>
      <c r="Q39" s="51">
        <f>VLOOKUP($L39,TABLE!$I$3:$O$13,Q$2,FALSE)/VLOOKUP($M39,TABLE!$I$3:$O$13,Q$2,FALSE)*I39</f>
        <v>9.1539398091509661</v>
      </c>
      <c r="R39" s="51">
        <f>VLOOKUP($L39,TABLE!$I$3:$O$13,R$2,FALSE)/VLOOKUP($M39,TABLE!$I$3:$O$13,R$2,FALSE)*J39</f>
        <v>10.756836421070604</v>
      </c>
    </row>
    <row r="40" spans="2:18">
      <c r="B40" t="s">
        <v>10</v>
      </c>
      <c r="C40" t="s">
        <v>124</v>
      </c>
      <c r="D40" t="s">
        <v>40</v>
      </c>
      <c r="E40" t="s">
        <v>246</v>
      </c>
      <c r="F40" s="51">
        <v>14.96</v>
      </c>
      <c r="G40" s="51">
        <v>9.4</v>
      </c>
      <c r="H40" s="51">
        <v>12.45</v>
      </c>
      <c r="I40" s="51">
        <v>16.920000000000002</v>
      </c>
      <c r="J40" s="51">
        <v>17.25</v>
      </c>
      <c r="L40" t="str">
        <f>VLOOKUP(B40,TABLE!D:E,2,FALSE)</f>
        <v>EUR</v>
      </c>
      <c r="M40" t="str">
        <f t="shared" si="0"/>
        <v>USD</v>
      </c>
      <c r="N40" s="51">
        <f>VLOOKUP($L40,TABLE!$I$3:$O$13,N$2,FALSE)/VLOOKUP($M40,TABLE!$I$3:$O$13,N$2,FALSE)*F40</f>
        <v>21.542417183551574</v>
      </c>
      <c r="O40" s="51">
        <f>VLOOKUP($L40,TABLE!$I$3:$O$13,O$2,FALSE)/VLOOKUP($M40,TABLE!$I$3:$O$13,O$2,FALSE)*G40</f>
        <v>12.569439443044056</v>
      </c>
      <c r="P40" s="51">
        <f>VLOOKUP($L40,TABLE!$I$3:$O$13,P$2,FALSE)/VLOOKUP($M40,TABLE!$I$3:$O$13,P$2,FALSE)*H40</f>
        <v>16.156194690265487</v>
      </c>
      <c r="Q40" s="51">
        <f>VLOOKUP($L40,TABLE!$I$3:$O$13,Q$2,FALSE)/VLOOKUP($M40,TABLE!$I$3:$O$13,Q$2,FALSE)*I40</f>
        <v>22.317674577930021</v>
      </c>
      <c r="R40" s="51">
        <f>VLOOKUP($L40,TABLE!$I$3:$O$13,R$2,FALSE)/VLOOKUP($M40,TABLE!$I$3:$O$13,R$2,FALSE)*J40</f>
        <v>23.7586976009562</v>
      </c>
    </row>
    <row r="41" spans="2:18">
      <c r="B41" t="s">
        <v>10</v>
      </c>
      <c r="C41" t="s">
        <v>124</v>
      </c>
      <c r="D41" t="s">
        <v>46</v>
      </c>
      <c r="E41" t="s">
        <v>247</v>
      </c>
      <c r="F41" s="51">
        <v>1.26</v>
      </c>
      <c r="G41" s="51">
        <v>7.05</v>
      </c>
      <c r="H41" s="51">
        <v>16.75</v>
      </c>
      <c r="I41" s="51">
        <v>11.92</v>
      </c>
      <c r="J41" s="51">
        <v>8.84</v>
      </c>
      <c r="L41" t="str">
        <f>VLOOKUP(B41,TABLE!D:E,2,FALSE)</f>
        <v>EUR</v>
      </c>
      <c r="M41" t="str">
        <f t="shared" si="0"/>
        <v>USD</v>
      </c>
      <c r="N41" s="51">
        <f>VLOOKUP($L41,TABLE!$I$3:$O$13,N$2,FALSE)/VLOOKUP($M41,TABLE!$I$3:$O$13,N$2,FALSE)*F41</f>
        <v>1.8144014472777394</v>
      </c>
      <c r="O41" s="51">
        <f>VLOOKUP($L41,TABLE!$I$3:$O$13,O$2,FALSE)/VLOOKUP($M41,TABLE!$I$3:$O$13,O$2,FALSE)*G41</f>
        <v>9.4270795822830404</v>
      </c>
      <c r="P41" s="51">
        <f>VLOOKUP($L41,TABLE!$I$3:$O$13,P$2,FALSE)/VLOOKUP($M41,TABLE!$I$3:$O$13,P$2,FALSE)*H41</f>
        <v>21.736245868429471</v>
      </c>
      <c r="Q41" s="51">
        <f>VLOOKUP($L41,TABLE!$I$3:$O$13,Q$2,FALSE)/VLOOKUP($M41,TABLE!$I$3:$O$13,Q$2,FALSE)*I41</f>
        <v>15.722617078541717</v>
      </c>
      <c r="R41" s="51">
        <f>VLOOKUP($L41,TABLE!$I$3:$O$13,R$2,FALSE)/VLOOKUP($M41,TABLE!$I$3:$O$13,R$2,FALSE)*J41</f>
        <v>12.175471698113206</v>
      </c>
    </row>
    <row r="42" spans="2:18">
      <c r="B42" t="s">
        <v>12</v>
      </c>
      <c r="C42" t="s">
        <v>124</v>
      </c>
      <c r="D42" t="s">
        <v>9</v>
      </c>
      <c r="E42" t="s">
        <v>248</v>
      </c>
      <c r="F42" s="51">
        <v>42.83</v>
      </c>
      <c r="G42" s="51">
        <v>35.57</v>
      </c>
      <c r="H42" s="51">
        <v>35.770000000000003</v>
      </c>
      <c r="I42" s="51">
        <v>35.94</v>
      </c>
      <c r="J42" s="51">
        <v>36.57</v>
      </c>
      <c r="L42" t="str">
        <f>VLOOKUP(B42,TABLE!D:E,2,FALSE)</f>
        <v>USD</v>
      </c>
      <c r="M42" t="str">
        <f t="shared" si="0"/>
        <v>USD</v>
      </c>
      <c r="N42" s="51">
        <f>VLOOKUP($L42,TABLE!$I$3:$O$13,N$2,FALSE)/VLOOKUP($M42,TABLE!$I$3:$O$13,N$2,FALSE)*F42</f>
        <v>42.83</v>
      </c>
      <c r="O42" s="51">
        <f>VLOOKUP($L42,TABLE!$I$3:$O$13,O$2,FALSE)/VLOOKUP($M42,TABLE!$I$3:$O$13,O$2,FALSE)*G42</f>
        <v>35.57</v>
      </c>
      <c r="P42" s="51">
        <f>VLOOKUP($L42,TABLE!$I$3:$O$13,P$2,FALSE)/VLOOKUP($M42,TABLE!$I$3:$O$13,P$2,FALSE)*H42</f>
        <v>35.770000000000003</v>
      </c>
      <c r="Q42" s="51">
        <f>VLOOKUP($L42,TABLE!$I$3:$O$13,Q$2,FALSE)/VLOOKUP($M42,TABLE!$I$3:$O$13,Q$2,FALSE)*I42</f>
        <v>35.94</v>
      </c>
      <c r="R42" s="51">
        <f>VLOOKUP($L42,TABLE!$I$3:$O$13,R$2,FALSE)/VLOOKUP($M42,TABLE!$I$3:$O$13,R$2,FALSE)*J42</f>
        <v>36.57</v>
      </c>
    </row>
    <row r="43" spans="2:18">
      <c r="B43" t="s">
        <v>12</v>
      </c>
      <c r="C43" t="s">
        <v>124</v>
      </c>
      <c r="D43" t="s">
        <v>11</v>
      </c>
      <c r="E43" t="s">
        <v>249</v>
      </c>
      <c r="F43" s="51">
        <v>84.58</v>
      </c>
      <c r="G43" s="51">
        <v>77.459999999999994</v>
      </c>
      <c r="H43" s="51">
        <v>78.540000000000006</v>
      </c>
      <c r="I43" s="51">
        <v>82.34</v>
      </c>
      <c r="J43" s="51">
        <v>87.31</v>
      </c>
      <c r="L43" t="str">
        <f>VLOOKUP(B43,TABLE!D:E,2,FALSE)</f>
        <v>USD</v>
      </c>
      <c r="M43" t="str">
        <f t="shared" si="0"/>
        <v>USD</v>
      </c>
      <c r="N43" s="51">
        <f>VLOOKUP($L43,TABLE!$I$3:$O$13,N$2,FALSE)/VLOOKUP($M43,TABLE!$I$3:$O$13,N$2,FALSE)*F43</f>
        <v>84.58</v>
      </c>
      <c r="O43" s="51">
        <f>VLOOKUP($L43,TABLE!$I$3:$O$13,O$2,FALSE)/VLOOKUP($M43,TABLE!$I$3:$O$13,O$2,FALSE)*G43</f>
        <v>77.459999999999994</v>
      </c>
      <c r="P43" s="51">
        <f>VLOOKUP($L43,TABLE!$I$3:$O$13,P$2,FALSE)/VLOOKUP($M43,TABLE!$I$3:$O$13,P$2,FALSE)*H43</f>
        <v>78.540000000000006</v>
      </c>
      <c r="Q43" s="51">
        <f>VLOOKUP($L43,TABLE!$I$3:$O$13,Q$2,FALSE)/VLOOKUP($M43,TABLE!$I$3:$O$13,Q$2,FALSE)*I43</f>
        <v>82.34</v>
      </c>
      <c r="R43" s="51">
        <f>VLOOKUP($L43,TABLE!$I$3:$O$13,R$2,FALSE)/VLOOKUP($M43,TABLE!$I$3:$O$13,R$2,FALSE)*J43</f>
        <v>87.31</v>
      </c>
    </row>
    <row r="44" spans="2:18">
      <c r="B44" t="s">
        <v>12</v>
      </c>
      <c r="C44" t="s">
        <v>124</v>
      </c>
      <c r="D44" t="s">
        <v>13</v>
      </c>
      <c r="E44" t="s">
        <v>250</v>
      </c>
      <c r="F44" s="51">
        <v>5.45</v>
      </c>
      <c r="G44" s="51">
        <v>5.92</v>
      </c>
      <c r="H44" s="51">
        <v>5.9</v>
      </c>
      <c r="I44" s="51">
        <v>7.36</v>
      </c>
      <c r="J44" s="51">
        <v>7.71</v>
      </c>
      <c r="L44" t="str">
        <f>VLOOKUP(B44,TABLE!D:E,2,FALSE)</f>
        <v>USD</v>
      </c>
      <c r="M44" t="str">
        <f t="shared" si="0"/>
        <v>USD</v>
      </c>
      <c r="N44" s="51">
        <f>VLOOKUP($L44,TABLE!$I$3:$O$13,N$2,FALSE)/VLOOKUP($M44,TABLE!$I$3:$O$13,N$2,FALSE)*F44</f>
        <v>5.45</v>
      </c>
      <c r="O44" s="51">
        <f>VLOOKUP($L44,TABLE!$I$3:$O$13,O$2,FALSE)/VLOOKUP($M44,TABLE!$I$3:$O$13,O$2,FALSE)*G44</f>
        <v>5.92</v>
      </c>
      <c r="P44" s="51">
        <f>VLOOKUP($L44,TABLE!$I$3:$O$13,P$2,FALSE)/VLOOKUP($M44,TABLE!$I$3:$O$13,P$2,FALSE)*H44</f>
        <v>5.9</v>
      </c>
      <c r="Q44" s="51">
        <f>VLOOKUP($L44,TABLE!$I$3:$O$13,Q$2,FALSE)/VLOOKUP($M44,TABLE!$I$3:$O$13,Q$2,FALSE)*I44</f>
        <v>7.36</v>
      </c>
      <c r="R44" s="51">
        <f>VLOOKUP($L44,TABLE!$I$3:$O$13,R$2,FALSE)/VLOOKUP($M44,TABLE!$I$3:$O$13,R$2,FALSE)*J44</f>
        <v>7.71</v>
      </c>
    </row>
    <row r="45" spans="2:18">
      <c r="B45" t="s">
        <v>12</v>
      </c>
      <c r="C45" t="s">
        <v>124</v>
      </c>
      <c r="D45" t="s">
        <v>15</v>
      </c>
      <c r="E45" t="s">
        <v>251</v>
      </c>
      <c r="F45" s="51">
        <v>132.86000000000001</v>
      </c>
      <c r="G45" s="51">
        <v>118.95</v>
      </c>
      <c r="H45" s="51">
        <v>120.21</v>
      </c>
      <c r="I45" s="51">
        <v>125.64</v>
      </c>
      <c r="J45" s="51">
        <v>131.59</v>
      </c>
      <c r="L45" t="str">
        <f>VLOOKUP(B45,TABLE!D:E,2,FALSE)</f>
        <v>USD</v>
      </c>
      <c r="M45" t="str">
        <f t="shared" si="0"/>
        <v>USD</v>
      </c>
      <c r="N45" s="51">
        <f>VLOOKUP($L45,TABLE!$I$3:$O$13,N$2,FALSE)/VLOOKUP($M45,TABLE!$I$3:$O$13,N$2,FALSE)*F45</f>
        <v>132.86000000000001</v>
      </c>
      <c r="O45" s="51">
        <f>VLOOKUP($L45,TABLE!$I$3:$O$13,O$2,FALSE)/VLOOKUP($M45,TABLE!$I$3:$O$13,O$2,FALSE)*G45</f>
        <v>118.95</v>
      </c>
      <c r="P45" s="51">
        <f>VLOOKUP($L45,TABLE!$I$3:$O$13,P$2,FALSE)/VLOOKUP($M45,TABLE!$I$3:$O$13,P$2,FALSE)*H45</f>
        <v>120.21</v>
      </c>
      <c r="Q45" s="51">
        <f>VLOOKUP($L45,TABLE!$I$3:$O$13,Q$2,FALSE)/VLOOKUP($M45,TABLE!$I$3:$O$13,Q$2,FALSE)*I45</f>
        <v>125.64</v>
      </c>
      <c r="R45" s="51">
        <f>VLOOKUP($L45,TABLE!$I$3:$O$13,R$2,FALSE)/VLOOKUP($M45,TABLE!$I$3:$O$13,R$2,FALSE)*J45</f>
        <v>131.59</v>
      </c>
    </row>
    <row r="46" spans="2:18">
      <c r="B46" t="s">
        <v>12</v>
      </c>
      <c r="C46" t="s">
        <v>124</v>
      </c>
      <c r="D46" t="s">
        <v>18</v>
      </c>
      <c r="E46" t="s">
        <v>252</v>
      </c>
      <c r="F46" s="51">
        <v>194.85</v>
      </c>
      <c r="G46" s="51">
        <v>164.69</v>
      </c>
      <c r="H46" s="51">
        <v>178.35</v>
      </c>
      <c r="I46" s="51">
        <v>190.55</v>
      </c>
      <c r="J46" s="51">
        <v>202.03</v>
      </c>
      <c r="L46" t="str">
        <f>VLOOKUP(B46,TABLE!D:E,2,FALSE)</f>
        <v>USD</v>
      </c>
      <c r="M46" t="str">
        <f t="shared" si="0"/>
        <v>USD</v>
      </c>
      <c r="N46" s="51">
        <f>VLOOKUP($L46,TABLE!$I$3:$O$13,N$2,FALSE)/VLOOKUP($M46,TABLE!$I$3:$O$13,N$2,FALSE)*F46</f>
        <v>194.85</v>
      </c>
      <c r="O46" s="51">
        <f>VLOOKUP($L46,TABLE!$I$3:$O$13,O$2,FALSE)/VLOOKUP($M46,TABLE!$I$3:$O$13,O$2,FALSE)*G46</f>
        <v>164.69</v>
      </c>
      <c r="P46" s="51">
        <f>VLOOKUP($L46,TABLE!$I$3:$O$13,P$2,FALSE)/VLOOKUP($M46,TABLE!$I$3:$O$13,P$2,FALSE)*H46</f>
        <v>178.35</v>
      </c>
      <c r="Q46" s="51">
        <f>VLOOKUP($L46,TABLE!$I$3:$O$13,Q$2,FALSE)/VLOOKUP($M46,TABLE!$I$3:$O$13,Q$2,FALSE)*I46</f>
        <v>190.55</v>
      </c>
      <c r="R46" s="51">
        <f>VLOOKUP($L46,TABLE!$I$3:$O$13,R$2,FALSE)/VLOOKUP($M46,TABLE!$I$3:$O$13,R$2,FALSE)*J46</f>
        <v>202.03</v>
      </c>
    </row>
    <row r="47" spans="2:18">
      <c r="B47" t="s">
        <v>12</v>
      </c>
      <c r="C47" t="s">
        <v>124</v>
      </c>
      <c r="D47" t="s">
        <v>21</v>
      </c>
      <c r="E47" t="s">
        <v>253</v>
      </c>
      <c r="F47" s="51">
        <v>50.77</v>
      </c>
      <c r="G47" s="51">
        <v>48.88</v>
      </c>
      <c r="H47" s="51">
        <v>50.36</v>
      </c>
      <c r="I47" s="51">
        <v>53.8</v>
      </c>
      <c r="J47" s="51">
        <v>74.13</v>
      </c>
      <c r="L47" t="str">
        <f>VLOOKUP(B47,TABLE!D:E,2,FALSE)</f>
        <v>USD</v>
      </c>
      <c r="M47" t="str">
        <f t="shared" si="0"/>
        <v>USD</v>
      </c>
      <c r="N47" s="51">
        <f>VLOOKUP($L47,TABLE!$I$3:$O$13,N$2,FALSE)/VLOOKUP($M47,TABLE!$I$3:$O$13,N$2,FALSE)*F47</f>
        <v>50.77</v>
      </c>
      <c r="O47" s="51">
        <f>VLOOKUP($L47,TABLE!$I$3:$O$13,O$2,FALSE)/VLOOKUP($M47,TABLE!$I$3:$O$13,O$2,FALSE)*G47</f>
        <v>48.88</v>
      </c>
      <c r="P47" s="51">
        <f>VLOOKUP($L47,TABLE!$I$3:$O$13,P$2,FALSE)/VLOOKUP($M47,TABLE!$I$3:$O$13,P$2,FALSE)*H47</f>
        <v>50.36</v>
      </c>
      <c r="Q47" s="51">
        <f>VLOOKUP($L47,TABLE!$I$3:$O$13,Q$2,FALSE)/VLOOKUP($M47,TABLE!$I$3:$O$13,Q$2,FALSE)*I47</f>
        <v>53.8</v>
      </c>
      <c r="R47" s="51">
        <f>VLOOKUP($L47,TABLE!$I$3:$O$13,R$2,FALSE)/VLOOKUP($M47,TABLE!$I$3:$O$13,R$2,FALSE)*J47</f>
        <v>74.13</v>
      </c>
    </row>
    <row r="48" spans="2:18">
      <c r="B48" t="s">
        <v>12</v>
      </c>
      <c r="C48" t="s">
        <v>124</v>
      </c>
      <c r="D48" t="s">
        <v>20</v>
      </c>
      <c r="E48" t="s">
        <v>254</v>
      </c>
      <c r="F48" s="51">
        <v>14.59</v>
      </c>
      <c r="G48" s="51">
        <v>16.36</v>
      </c>
      <c r="H48" s="51">
        <v>17.72</v>
      </c>
      <c r="I48" s="51">
        <v>19.309999999999999</v>
      </c>
      <c r="J48" s="51">
        <v>19.53</v>
      </c>
      <c r="L48" t="str">
        <f>VLOOKUP(B48,TABLE!D:E,2,FALSE)</f>
        <v>USD</v>
      </c>
      <c r="M48" t="str">
        <f t="shared" si="0"/>
        <v>USD</v>
      </c>
      <c r="N48" s="51">
        <f>VLOOKUP($L48,TABLE!$I$3:$O$13,N$2,FALSE)/VLOOKUP($M48,TABLE!$I$3:$O$13,N$2,FALSE)*F48</f>
        <v>14.59</v>
      </c>
      <c r="O48" s="51">
        <f>VLOOKUP($L48,TABLE!$I$3:$O$13,O$2,FALSE)/VLOOKUP($M48,TABLE!$I$3:$O$13,O$2,FALSE)*G48</f>
        <v>16.36</v>
      </c>
      <c r="P48" s="51">
        <f>VLOOKUP($L48,TABLE!$I$3:$O$13,P$2,FALSE)/VLOOKUP($M48,TABLE!$I$3:$O$13,P$2,FALSE)*H48</f>
        <v>17.72</v>
      </c>
      <c r="Q48" s="51">
        <f>VLOOKUP($L48,TABLE!$I$3:$O$13,Q$2,FALSE)/VLOOKUP($M48,TABLE!$I$3:$O$13,Q$2,FALSE)*I48</f>
        <v>19.309999999999999</v>
      </c>
      <c r="R48" s="51">
        <f>VLOOKUP($L48,TABLE!$I$3:$O$13,R$2,FALSE)/VLOOKUP($M48,TABLE!$I$3:$O$13,R$2,FALSE)*J48</f>
        <v>19.53</v>
      </c>
    </row>
    <row r="49" spans="2:18">
      <c r="B49" t="s">
        <v>12</v>
      </c>
      <c r="C49" t="s">
        <v>124</v>
      </c>
      <c r="D49" t="s">
        <v>25</v>
      </c>
      <c r="E49" t="s">
        <v>255</v>
      </c>
      <c r="F49" s="51">
        <v>-6.52</v>
      </c>
      <c r="G49" s="51">
        <v>-0.64200000000000002</v>
      </c>
      <c r="H49" s="51">
        <v>15.07</v>
      </c>
      <c r="I49" s="51">
        <v>16.309999999999999</v>
      </c>
      <c r="J49" s="51">
        <v>26.75</v>
      </c>
      <c r="L49" t="str">
        <f>VLOOKUP(B49,TABLE!D:E,2,FALSE)</f>
        <v>USD</v>
      </c>
      <c r="M49" t="str">
        <f t="shared" si="0"/>
        <v>USD</v>
      </c>
      <c r="N49" s="51">
        <f>VLOOKUP($L49,TABLE!$I$3:$O$13,N$2,FALSE)/VLOOKUP($M49,TABLE!$I$3:$O$13,N$2,FALSE)*F49</f>
        <v>-6.52</v>
      </c>
      <c r="O49" s="51">
        <f>VLOOKUP($L49,TABLE!$I$3:$O$13,O$2,FALSE)/VLOOKUP($M49,TABLE!$I$3:$O$13,O$2,FALSE)*G49</f>
        <v>-0.64200000000000002</v>
      </c>
      <c r="P49" s="51">
        <f>VLOOKUP($L49,TABLE!$I$3:$O$13,P$2,FALSE)/VLOOKUP($M49,TABLE!$I$3:$O$13,P$2,FALSE)*H49</f>
        <v>15.07</v>
      </c>
      <c r="Q49" s="51">
        <f>VLOOKUP($L49,TABLE!$I$3:$O$13,Q$2,FALSE)/VLOOKUP($M49,TABLE!$I$3:$O$13,Q$2,FALSE)*I49</f>
        <v>16.309999999999999</v>
      </c>
      <c r="R49" s="51">
        <f>VLOOKUP($L49,TABLE!$I$3:$O$13,R$2,FALSE)/VLOOKUP($M49,TABLE!$I$3:$O$13,R$2,FALSE)*J49</f>
        <v>26.75</v>
      </c>
    </row>
    <row r="50" spans="2:18">
      <c r="B50" t="s">
        <v>12</v>
      </c>
      <c r="C50" t="s">
        <v>124</v>
      </c>
      <c r="D50" t="s">
        <v>30</v>
      </c>
      <c r="E50" t="s">
        <v>256</v>
      </c>
      <c r="F50" s="51">
        <v>118.37</v>
      </c>
      <c r="G50" s="51">
        <v>128.91999999999999</v>
      </c>
      <c r="H50" s="51">
        <v>136.27000000000001</v>
      </c>
      <c r="I50" s="51">
        <v>134.27000000000001</v>
      </c>
      <c r="J50" s="51">
        <v>146.91999999999999</v>
      </c>
      <c r="L50" t="str">
        <f>VLOOKUP(B50,TABLE!D:E,2,FALSE)</f>
        <v>USD</v>
      </c>
      <c r="M50" t="str">
        <f t="shared" si="0"/>
        <v>USD</v>
      </c>
      <c r="N50" s="51">
        <f>VLOOKUP($L50,TABLE!$I$3:$O$13,N$2,FALSE)/VLOOKUP($M50,TABLE!$I$3:$O$13,N$2,FALSE)*F50</f>
        <v>118.37</v>
      </c>
      <c r="O50" s="51">
        <f>VLOOKUP($L50,TABLE!$I$3:$O$13,O$2,FALSE)/VLOOKUP($M50,TABLE!$I$3:$O$13,O$2,FALSE)*G50</f>
        <v>128.91999999999999</v>
      </c>
      <c r="P50" s="51">
        <f>VLOOKUP($L50,TABLE!$I$3:$O$13,P$2,FALSE)/VLOOKUP($M50,TABLE!$I$3:$O$13,P$2,FALSE)*H50</f>
        <v>136.27000000000001</v>
      </c>
      <c r="Q50" s="51">
        <f>VLOOKUP($L50,TABLE!$I$3:$O$13,Q$2,FALSE)/VLOOKUP($M50,TABLE!$I$3:$O$13,Q$2,FALSE)*I50</f>
        <v>134.27000000000001</v>
      </c>
      <c r="R50" s="51">
        <f>VLOOKUP($L50,TABLE!$I$3:$O$13,R$2,FALSE)/VLOOKUP($M50,TABLE!$I$3:$O$13,R$2,FALSE)*J50</f>
        <v>146.91999999999999</v>
      </c>
    </row>
    <row r="51" spans="2:18">
      <c r="B51" t="s">
        <v>12</v>
      </c>
      <c r="C51" t="s">
        <v>124</v>
      </c>
      <c r="D51" t="s">
        <v>34</v>
      </c>
      <c r="E51" t="s">
        <v>257</v>
      </c>
      <c r="F51" s="51">
        <v>23.37</v>
      </c>
      <c r="G51" s="51">
        <v>29.56</v>
      </c>
      <c r="H51" s="51">
        <v>28.51</v>
      </c>
      <c r="I51" s="51">
        <v>24.66</v>
      </c>
      <c r="J51" s="51">
        <v>25.52</v>
      </c>
      <c r="L51" t="str">
        <f>VLOOKUP(B51,TABLE!D:E,2,FALSE)</f>
        <v>USD</v>
      </c>
      <c r="M51" t="str">
        <f t="shared" si="0"/>
        <v>USD</v>
      </c>
      <c r="N51" s="51">
        <f>VLOOKUP($L51,TABLE!$I$3:$O$13,N$2,FALSE)/VLOOKUP($M51,TABLE!$I$3:$O$13,N$2,FALSE)*F51</f>
        <v>23.37</v>
      </c>
      <c r="O51" s="51">
        <f>VLOOKUP($L51,TABLE!$I$3:$O$13,O$2,FALSE)/VLOOKUP($M51,TABLE!$I$3:$O$13,O$2,FALSE)*G51</f>
        <v>29.56</v>
      </c>
      <c r="P51" s="51">
        <f>VLOOKUP($L51,TABLE!$I$3:$O$13,P$2,FALSE)/VLOOKUP($M51,TABLE!$I$3:$O$13,P$2,FALSE)*H51</f>
        <v>28.51</v>
      </c>
      <c r="Q51" s="51">
        <f>VLOOKUP($L51,TABLE!$I$3:$O$13,Q$2,FALSE)/VLOOKUP($M51,TABLE!$I$3:$O$13,Q$2,FALSE)*I51</f>
        <v>24.66</v>
      </c>
      <c r="R51" s="51">
        <f>VLOOKUP($L51,TABLE!$I$3:$O$13,R$2,FALSE)/VLOOKUP($M51,TABLE!$I$3:$O$13,R$2,FALSE)*J51</f>
        <v>25.52</v>
      </c>
    </row>
    <row r="52" spans="2:18">
      <c r="B52" t="s">
        <v>12</v>
      </c>
      <c r="C52" t="s">
        <v>124</v>
      </c>
      <c r="D52" t="s">
        <v>48</v>
      </c>
      <c r="E52" t="s">
        <v>258</v>
      </c>
      <c r="F52" s="51">
        <v>2.71</v>
      </c>
      <c r="G52" s="51">
        <v>6.56</v>
      </c>
      <c r="H52" s="51">
        <v>20.21</v>
      </c>
      <c r="I52" s="51">
        <v>5.67</v>
      </c>
      <c r="J52" s="51">
        <v>7.16</v>
      </c>
      <c r="L52" t="str">
        <f>VLOOKUP(B52,TABLE!D:E,2,FALSE)</f>
        <v>USD</v>
      </c>
      <c r="M52" t="str">
        <f t="shared" si="0"/>
        <v>USD</v>
      </c>
      <c r="N52" s="51">
        <f>VLOOKUP($L52,TABLE!$I$3:$O$13,N$2,FALSE)/VLOOKUP($M52,TABLE!$I$3:$O$13,N$2,FALSE)*F52</f>
        <v>2.71</v>
      </c>
      <c r="O52" s="51">
        <f>VLOOKUP($L52,TABLE!$I$3:$O$13,O$2,FALSE)/VLOOKUP($M52,TABLE!$I$3:$O$13,O$2,FALSE)*G52</f>
        <v>6.56</v>
      </c>
      <c r="P52" s="51">
        <f>VLOOKUP($L52,TABLE!$I$3:$O$13,P$2,FALSE)/VLOOKUP($M52,TABLE!$I$3:$O$13,P$2,FALSE)*H52</f>
        <v>20.21</v>
      </c>
      <c r="Q52" s="51">
        <f>VLOOKUP($L52,TABLE!$I$3:$O$13,Q$2,FALSE)/VLOOKUP($M52,TABLE!$I$3:$O$13,Q$2,FALSE)*I52</f>
        <v>5.67</v>
      </c>
      <c r="R52" s="51">
        <f>VLOOKUP($L52,TABLE!$I$3:$O$13,R$2,FALSE)/VLOOKUP($M52,TABLE!$I$3:$O$13,R$2,FALSE)*J52</f>
        <v>7.16</v>
      </c>
    </row>
    <row r="53" spans="2:18">
      <c r="B53" t="s">
        <v>12</v>
      </c>
      <c r="C53" t="s">
        <v>124</v>
      </c>
      <c r="D53" t="s">
        <v>50</v>
      </c>
      <c r="E53" t="s">
        <v>259</v>
      </c>
      <c r="F53" s="51">
        <v>12.46</v>
      </c>
      <c r="G53" s="51">
        <v>18.95</v>
      </c>
      <c r="H53" s="51">
        <v>17.07</v>
      </c>
      <c r="I53" s="51">
        <v>13.09</v>
      </c>
      <c r="J53" s="51">
        <v>12.25</v>
      </c>
      <c r="L53" t="str">
        <f>VLOOKUP(B53,TABLE!D:E,2,FALSE)</f>
        <v>USD</v>
      </c>
      <c r="M53" t="str">
        <f t="shared" si="0"/>
        <v>USD</v>
      </c>
      <c r="N53" s="51">
        <f>VLOOKUP($L53,TABLE!$I$3:$O$13,N$2,FALSE)/VLOOKUP($M53,TABLE!$I$3:$O$13,N$2,FALSE)*F53</f>
        <v>12.46</v>
      </c>
      <c r="O53" s="51">
        <f>VLOOKUP($L53,TABLE!$I$3:$O$13,O$2,FALSE)/VLOOKUP($M53,TABLE!$I$3:$O$13,O$2,FALSE)*G53</f>
        <v>18.95</v>
      </c>
      <c r="P53" s="51">
        <f>VLOOKUP($L53,TABLE!$I$3:$O$13,P$2,FALSE)/VLOOKUP($M53,TABLE!$I$3:$O$13,P$2,FALSE)*H53</f>
        <v>17.07</v>
      </c>
      <c r="Q53" s="51">
        <f>VLOOKUP($L53,TABLE!$I$3:$O$13,Q$2,FALSE)/VLOOKUP($M53,TABLE!$I$3:$O$13,Q$2,FALSE)*I53</f>
        <v>13.09</v>
      </c>
      <c r="R53" s="51">
        <f>VLOOKUP($L53,TABLE!$I$3:$O$13,R$2,FALSE)/VLOOKUP($M53,TABLE!$I$3:$O$13,R$2,FALSE)*J53</f>
        <v>12.25</v>
      </c>
    </row>
    <row r="54" spans="2:18">
      <c r="B54" t="s">
        <v>12</v>
      </c>
      <c r="C54" t="s">
        <v>124</v>
      </c>
      <c r="D54" t="s">
        <v>44</v>
      </c>
      <c r="E54" t="s">
        <v>260</v>
      </c>
      <c r="F54" s="51">
        <v>6.99</v>
      </c>
      <c r="G54" s="51">
        <v>6.38</v>
      </c>
      <c r="H54" s="51">
        <v>4.6500000000000004</v>
      </c>
      <c r="I54" s="51">
        <v>0.71299999999999997</v>
      </c>
      <c r="J54" s="51">
        <v>0.82899999999999996</v>
      </c>
      <c r="L54" t="str">
        <f>VLOOKUP(B54,TABLE!D:E,2,FALSE)</f>
        <v>USD</v>
      </c>
      <c r="M54" t="str">
        <f t="shared" si="0"/>
        <v>USD</v>
      </c>
      <c r="N54" s="51">
        <f>VLOOKUP($L54,TABLE!$I$3:$O$13,N$2,FALSE)/VLOOKUP($M54,TABLE!$I$3:$O$13,N$2,FALSE)*F54</f>
        <v>6.99</v>
      </c>
      <c r="O54" s="51">
        <f>VLOOKUP($L54,TABLE!$I$3:$O$13,O$2,FALSE)/VLOOKUP($M54,TABLE!$I$3:$O$13,O$2,FALSE)*G54</f>
        <v>6.38</v>
      </c>
      <c r="P54" s="51">
        <f>VLOOKUP($L54,TABLE!$I$3:$O$13,P$2,FALSE)/VLOOKUP($M54,TABLE!$I$3:$O$13,P$2,FALSE)*H54</f>
        <v>4.6500000000000004</v>
      </c>
      <c r="Q54" s="51">
        <f>VLOOKUP($L54,TABLE!$I$3:$O$13,Q$2,FALSE)/VLOOKUP($M54,TABLE!$I$3:$O$13,Q$2,FALSE)*I54</f>
        <v>0.71299999999999997</v>
      </c>
      <c r="R54" s="51">
        <f>VLOOKUP($L54,TABLE!$I$3:$O$13,R$2,FALSE)/VLOOKUP($M54,TABLE!$I$3:$O$13,R$2,FALSE)*J54</f>
        <v>0.82899999999999996</v>
      </c>
    </row>
    <row r="55" spans="2:18">
      <c r="B55" t="s">
        <v>12</v>
      </c>
      <c r="C55" t="s">
        <v>124</v>
      </c>
      <c r="D55" t="s">
        <v>42</v>
      </c>
      <c r="E55" t="s">
        <v>261</v>
      </c>
      <c r="F55" s="51">
        <v>0.29099999999999998</v>
      </c>
      <c r="G55" s="51">
        <v>0.35</v>
      </c>
      <c r="H55" s="51">
        <v>0.47199999999999998</v>
      </c>
      <c r="I55" s="51">
        <v>0.34200000000000003</v>
      </c>
      <c r="J55" s="51">
        <v>0.21299999999999999</v>
      </c>
      <c r="L55" t="str">
        <f>VLOOKUP(B55,TABLE!D:E,2,FALSE)</f>
        <v>USD</v>
      </c>
      <c r="M55" t="str">
        <f t="shared" si="0"/>
        <v>USD</v>
      </c>
      <c r="N55" s="51">
        <f>VLOOKUP($L55,TABLE!$I$3:$O$13,N$2,FALSE)/VLOOKUP($M55,TABLE!$I$3:$O$13,N$2,FALSE)*F55</f>
        <v>0.29099999999999998</v>
      </c>
      <c r="O55" s="51">
        <f>VLOOKUP($L55,TABLE!$I$3:$O$13,O$2,FALSE)/VLOOKUP($M55,TABLE!$I$3:$O$13,O$2,FALSE)*G55</f>
        <v>0.35</v>
      </c>
      <c r="P55" s="51">
        <f>VLOOKUP($L55,TABLE!$I$3:$O$13,P$2,FALSE)/VLOOKUP($M55,TABLE!$I$3:$O$13,P$2,FALSE)*H55</f>
        <v>0.47199999999999998</v>
      </c>
      <c r="Q55" s="51">
        <f>VLOOKUP($L55,TABLE!$I$3:$O$13,Q$2,FALSE)/VLOOKUP($M55,TABLE!$I$3:$O$13,Q$2,FALSE)*I55</f>
        <v>0.34200000000000003</v>
      </c>
      <c r="R55" s="51">
        <f>VLOOKUP($L55,TABLE!$I$3:$O$13,R$2,FALSE)/VLOOKUP($M55,TABLE!$I$3:$O$13,R$2,FALSE)*J55</f>
        <v>0.21299999999999999</v>
      </c>
    </row>
    <row r="56" spans="2:18">
      <c r="B56" t="s">
        <v>12</v>
      </c>
      <c r="C56" t="s">
        <v>124</v>
      </c>
      <c r="D56" t="s">
        <v>145</v>
      </c>
      <c r="E56" t="s">
        <v>262</v>
      </c>
      <c r="F56" s="51"/>
      <c r="G56" s="51"/>
      <c r="H56" s="51"/>
      <c r="I56" s="51"/>
      <c r="J56" s="51"/>
      <c r="L56" t="str">
        <f>VLOOKUP(B56,TABLE!D:E,2,FALSE)</f>
        <v>USD</v>
      </c>
      <c r="M56" t="str">
        <f t="shared" si="0"/>
        <v>USD</v>
      </c>
      <c r="N56" s="51">
        <f>VLOOKUP($L56,TABLE!$I$3:$O$13,N$2,FALSE)/VLOOKUP($M56,TABLE!$I$3:$O$13,N$2,FALSE)*F56</f>
        <v>0</v>
      </c>
      <c r="O56" s="51">
        <f>VLOOKUP($L56,TABLE!$I$3:$O$13,O$2,FALSE)/VLOOKUP($M56,TABLE!$I$3:$O$13,O$2,FALSE)*G56</f>
        <v>0</v>
      </c>
      <c r="P56" s="51">
        <f>VLOOKUP($L56,TABLE!$I$3:$O$13,P$2,FALSE)/VLOOKUP($M56,TABLE!$I$3:$O$13,P$2,FALSE)*H56</f>
        <v>0</v>
      </c>
      <c r="Q56" s="51">
        <f>VLOOKUP($L56,TABLE!$I$3:$O$13,Q$2,FALSE)/VLOOKUP($M56,TABLE!$I$3:$O$13,Q$2,FALSE)*I56</f>
        <v>0</v>
      </c>
      <c r="R56" s="51">
        <f>VLOOKUP($L56,TABLE!$I$3:$O$13,R$2,FALSE)/VLOOKUP($M56,TABLE!$I$3:$O$13,R$2,FALSE)*J56</f>
        <v>0</v>
      </c>
    </row>
    <row r="57" spans="2:18">
      <c r="B57" t="s">
        <v>12</v>
      </c>
      <c r="C57" t="s">
        <v>124</v>
      </c>
      <c r="D57" t="s">
        <v>36</v>
      </c>
      <c r="E57" t="s">
        <v>263</v>
      </c>
      <c r="F57" s="51">
        <v>18.93</v>
      </c>
      <c r="G57" s="51">
        <v>16.600000000000001</v>
      </c>
      <c r="H57" s="51">
        <v>16.829999999999998</v>
      </c>
      <c r="I57" s="51">
        <v>17.760000000000002</v>
      </c>
      <c r="J57" s="51">
        <v>19.78</v>
      </c>
      <c r="L57" t="str">
        <f>VLOOKUP(B57,TABLE!D:E,2,FALSE)</f>
        <v>USD</v>
      </c>
      <c r="M57" t="str">
        <f t="shared" si="0"/>
        <v>USD</v>
      </c>
      <c r="N57" s="51">
        <f>VLOOKUP($L57,TABLE!$I$3:$O$13,N$2,FALSE)/VLOOKUP($M57,TABLE!$I$3:$O$13,N$2,FALSE)*F57</f>
        <v>18.93</v>
      </c>
      <c r="O57" s="51">
        <f>VLOOKUP($L57,TABLE!$I$3:$O$13,O$2,FALSE)/VLOOKUP($M57,TABLE!$I$3:$O$13,O$2,FALSE)*G57</f>
        <v>16.600000000000001</v>
      </c>
      <c r="P57" s="51">
        <f>VLOOKUP($L57,TABLE!$I$3:$O$13,P$2,FALSE)/VLOOKUP($M57,TABLE!$I$3:$O$13,P$2,FALSE)*H57</f>
        <v>16.829999999999998</v>
      </c>
      <c r="Q57" s="51">
        <f>VLOOKUP($L57,TABLE!$I$3:$O$13,Q$2,FALSE)/VLOOKUP($M57,TABLE!$I$3:$O$13,Q$2,FALSE)*I57</f>
        <v>17.760000000000002</v>
      </c>
      <c r="R57" s="51">
        <f>VLOOKUP($L57,TABLE!$I$3:$O$13,R$2,FALSE)/VLOOKUP($M57,TABLE!$I$3:$O$13,R$2,FALSE)*J57</f>
        <v>19.78</v>
      </c>
    </row>
    <row r="58" spans="2:18">
      <c r="B58" t="s">
        <v>12</v>
      </c>
      <c r="C58" t="s">
        <v>124</v>
      </c>
      <c r="D58" t="s">
        <v>38</v>
      </c>
      <c r="E58" t="s">
        <v>264</v>
      </c>
      <c r="F58" s="51">
        <v>4.9000000000000004</v>
      </c>
      <c r="G58" s="51">
        <v>5</v>
      </c>
      <c r="H58" s="51">
        <v>5.3</v>
      </c>
      <c r="I58" s="51">
        <v>5.5</v>
      </c>
      <c r="J58" s="51">
        <v>6.4</v>
      </c>
      <c r="L58" t="str">
        <f>VLOOKUP(B58,TABLE!D:E,2,FALSE)</f>
        <v>USD</v>
      </c>
      <c r="M58" t="str">
        <f t="shared" si="0"/>
        <v>USD</v>
      </c>
      <c r="N58" s="51">
        <f>VLOOKUP($L58,TABLE!$I$3:$O$13,N$2,FALSE)/VLOOKUP($M58,TABLE!$I$3:$O$13,N$2,FALSE)*F58</f>
        <v>4.9000000000000004</v>
      </c>
      <c r="O58" s="51">
        <f>VLOOKUP($L58,TABLE!$I$3:$O$13,O$2,FALSE)/VLOOKUP($M58,TABLE!$I$3:$O$13,O$2,FALSE)*G58</f>
        <v>5</v>
      </c>
      <c r="P58" s="51">
        <f>VLOOKUP($L58,TABLE!$I$3:$O$13,P$2,FALSE)/VLOOKUP($M58,TABLE!$I$3:$O$13,P$2,FALSE)*H58</f>
        <v>5.3</v>
      </c>
      <c r="Q58" s="51">
        <f>VLOOKUP($L58,TABLE!$I$3:$O$13,Q$2,FALSE)/VLOOKUP($M58,TABLE!$I$3:$O$13,Q$2,FALSE)*I58</f>
        <v>5.5</v>
      </c>
      <c r="R58" s="51">
        <f>VLOOKUP($L58,TABLE!$I$3:$O$13,R$2,FALSE)/VLOOKUP($M58,TABLE!$I$3:$O$13,R$2,FALSE)*J58</f>
        <v>6.4</v>
      </c>
    </row>
    <row r="59" spans="2:18">
      <c r="B59" t="s">
        <v>12</v>
      </c>
      <c r="C59" t="s">
        <v>124</v>
      </c>
      <c r="D59" t="s">
        <v>40</v>
      </c>
      <c r="E59" t="s">
        <v>265</v>
      </c>
      <c r="F59" s="51">
        <v>14.03</v>
      </c>
      <c r="G59" s="51">
        <v>11.6</v>
      </c>
      <c r="H59" s="51">
        <v>11.53</v>
      </c>
      <c r="I59" s="51">
        <v>12.26</v>
      </c>
      <c r="J59" s="51">
        <v>13.38</v>
      </c>
      <c r="L59" t="str">
        <f>VLOOKUP(B59,TABLE!D:E,2,FALSE)</f>
        <v>USD</v>
      </c>
      <c r="M59" t="str">
        <f t="shared" si="0"/>
        <v>USD</v>
      </c>
      <c r="N59" s="51">
        <f>VLOOKUP($L59,TABLE!$I$3:$O$13,N$2,FALSE)/VLOOKUP($M59,TABLE!$I$3:$O$13,N$2,FALSE)*F59</f>
        <v>14.03</v>
      </c>
      <c r="O59" s="51">
        <f>VLOOKUP($L59,TABLE!$I$3:$O$13,O$2,FALSE)/VLOOKUP($M59,TABLE!$I$3:$O$13,O$2,FALSE)*G59</f>
        <v>11.6</v>
      </c>
      <c r="P59" s="51">
        <f>VLOOKUP($L59,TABLE!$I$3:$O$13,P$2,FALSE)/VLOOKUP($M59,TABLE!$I$3:$O$13,P$2,FALSE)*H59</f>
        <v>11.53</v>
      </c>
      <c r="Q59" s="51">
        <f>VLOOKUP($L59,TABLE!$I$3:$O$13,Q$2,FALSE)/VLOOKUP($M59,TABLE!$I$3:$O$13,Q$2,FALSE)*I59</f>
        <v>12.26</v>
      </c>
      <c r="R59" s="51">
        <f>VLOOKUP($L59,TABLE!$I$3:$O$13,R$2,FALSE)/VLOOKUP($M59,TABLE!$I$3:$O$13,R$2,FALSE)*J59</f>
        <v>13.38</v>
      </c>
    </row>
    <row r="60" spans="2:18">
      <c r="B60" t="s">
        <v>12</v>
      </c>
      <c r="C60" t="s">
        <v>124</v>
      </c>
      <c r="D60" t="s">
        <v>46</v>
      </c>
      <c r="E60" t="s">
        <v>266</v>
      </c>
      <c r="F60" s="51">
        <v>3.03</v>
      </c>
      <c r="G60" s="51">
        <v>7.15</v>
      </c>
      <c r="H60" s="51">
        <v>8.68</v>
      </c>
      <c r="I60" s="51">
        <v>7.72</v>
      </c>
      <c r="J60" s="51">
        <v>7</v>
      </c>
      <c r="L60" t="str">
        <f>VLOOKUP(B60,TABLE!D:E,2,FALSE)</f>
        <v>USD</v>
      </c>
      <c r="M60" t="str">
        <f t="shared" si="0"/>
        <v>USD</v>
      </c>
      <c r="N60" s="51">
        <f>VLOOKUP($L60,TABLE!$I$3:$O$13,N$2,FALSE)/VLOOKUP($M60,TABLE!$I$3:$O$13,N$2,FALSE)*F60</f>
        <v>3.03</v>
      </c>
      <c r="O60" s="51">
        <f>VLOOKUP($L60,TABLE!$I$3:$O$13,O$2,FALSE)/VLOOKUP($M60,TABLE!$I$3:$O$13,O$2,FALSE)*G60</f>
        <v>7.15</v>
      </c>
      <c r="P60" s="51">
        <f>VLOOKUP($L60,TABLE!$I$3:$O$13,P$2,FALSE)/VLOOKUP($M60,TABLE!$I$3:$O$13,P$2,FALSE)*H60</f>
        <v>8.68</v>
      </c>
      <c r="Q60" s="51">
        <f>VLOOKUP($L60,TABLE!$I$3:$O$13,Q$2,FALSE)/VLOOKUP($M60,TABLE!$I$3:$O$13,Q$2,FALSE)*I60</f>
        <v>7.72</v>
      </c>
      <c r="R60" s="51">
        <f>VLOOKUP($L60,TABLE!$I$3:$O$13,R$2,FALSE)/VLOOKUP($M60,TABLE!$I$3:$O$13,R$2,FALSE)*J60</f>
        <v>7</v>
      </c>
    </row>
    <row r="61" spans="2:18">
      <c r="B61" t="s">
        <v>14</v>
      </c>
      <c r="C61" t="s">
        <v>124</v>
      </c>
      <c r="D61" t="s">
        <v>9</v>
      </c>
      <c r="E61" t="s">
        <v>267</v>
      </c>
      <c r="F61" s="51">
        <v>36.729999999999997</v>
      </c>
      <c r="G61" s="51">
        <v>27.86</v>
      </c>
      <c r="H61" s="51">
        <v>31.85</v>
      </c>
      <c r="I61" s="51">
        <v>28.1</v>
      </c>
      <c r="J61" s="51">
        <v>30.24</v>
      </c>
      <c r="L61" t="str">
        <f>VLOOKUP(B61,TABLE!D:E,2,FALSE)</f>
        <v>USD</v>
      </c>
      <c r="M61" t="str">
        <f t="shared" si="0"/>
        <v>USD</v>
      </c>
      <c r="N61" s="51">
        <f>VLOOKUP($L61,TABLE!$I$3:$O$13,N$2,FALSE)/VLOOKUP($M61,TABLE!$I$3:$O$13,N$2,FALSE)*F61</f>
        <v>36.729999999999997</v>
      </c>
      <c r="O61" s="51">
        <f>VLOOKUP($L61,TABLE!$I$3:$O$13,O$2,FALSE)/VLOOKUP($M61,TABLE!$I$3:$O$13,O$2,FALSE)*G61</f>
        <v>27.86</v>
      </c>
      <c r="P61" s="51">
        <f>VLOOKUP($L61,TABLE!$I$3:$O$13,P$2,FALSE)/VLOOKUP($M61,TABLE!$I$3:$O$13,P$2,FALSE)*H61</f>
        <v>31.85</v>
      </c>
      <c r="Q61" s="51">
        <f>VLOOKUP($L61,TABLE!$I$3:$O$13,Q$2,FALSE)/VLOOKUP($M61,TABLE!$I$3:$O$13,Q$2,FALSE)*I61</f>
        <v>28.1</v>
      </c>
      <c r="R61" s="51">
        <f>VLOOKUP($L61,TABLE!$I$3:$O$13,R$2,FALSE)/VLOOKUP($M61,TABLE!$I$3:$O$13,R$2,FALSE)*J61</f>
        <v>30.24</v>
      </c>
    </row>
    <row r="62" spans="2:18">
      <c r="B62" t="s">
        <v>14</v>
      </c>
      <c r="C62" t="s">
        <v>124</v>
      </c>
      <c r="D62" t="s">
        <v>11</v>
      </c>
      <c r="E62" t="s">
        <v>268</v>
      </c>
      <c r="F62" s="51">
        <v>7.52</v>
      </c>
      <c r="G62" s="51">
        <v>8.6999999999999993</v>
      </c>
      <c r="H62" s="51">
        <v>9.9499999999999993</v>
      </c>
      <c r="I62" s="51">
        <v>14.44</v>
      </c>
      <c r="J62" s="51">
        <v>22.81</v>
      </c>
      <c r="L62" t="str">
        <f>VLOOKUP(B62,TABLE!D:E,2,FALSE)</f>
        <v>USD</v>
      </c>
      <c r="M62" t="str">
        <f t="shared" si="0"/>
        <v>USD</v>
      </c>
      <c r="N62" s="51">
        <f>VLOOKUP($L62,TABLE!$I$3:$O$13,N$2,FALSE)/VLOOKUP($M62,TABLE!$I$3:$O$13,N$2,FALSE)*F62</f>
        <v>7.52</v>
      </c>
      <c r="O62" s="51">
        <f>VLOOKUP($L62,TABLE!$I$3:$O$13,O$2,FALSE)/VLOOKUP($M62,TABLE!$I$3:$O$13,O$2,FALSE)*G62</f>
        <v>8.6999999999999993</v>
      </c>
      <c r="P62" s="51">
        <f>VLOOKUP($L62,TABLE!$I$3:$O$13,P$2,FALSE)/VLOOKUP($M62,TABLE!$I$3:$O$13,P$2,FALSE)*H62</f>
        <v>9.9499999999999993</v>
      </c>
      <c r="Q62" s="51">
        <f>VLOOKUP($L62,TABLE!$I$3:$O$13,Q$2,FALSE)/VLOOKUP($M62,TABLE!$I$3:$O$13,Q$2,FALSE)*I62</f>
        <v>14.44</v>
      </c>
      <c r="R62" s="51">
        <f>VLOOKUP($L62,TABLE!$I$3:$O$13,R$2,FALSE)/VLOOKUP($M62,TABLE!$I$3:$O$13,R$2,FALSE)*J62</f>
        <v>22.81</v>
      </c>
    </row>
    <row r="63" spans="2:18">
      <c r="B63" t="s">
        <v>14</v>
      </c>
      <c r="C63" t="s">
        <v>124</v>
      </c>
      <c r="D63" t="s">
        <v>13</v>
      </c>
      <c r="E63" t="s">
        <v>269</v>
      </c>
      <c r="F63" s="51">
        <v>10.11</v>
      </c>
      <c r="G63" s="51">
        <v>12.13</v>
      </c>
      <c r="H63" s="51">
        <v>14.32</v>
      </c>
      <c r="I63" s="51">
        <v>14.71</v>
      </c>
      <c r="J63" s="51">
        <v>14.04</v>
      </c>
      <c r="L63" t="str">
        <f>VLOOKUP(B63,TABLE!D:E,2,FALSE)</f>
        <v>USD</v>
      </c>
      <c r="M63" t="str">
        <f t="shared" si="0"/>
        <v>USD</v>
      </c>
      <c r="N63" s="51">
        <f>VLOOKUP($L63,TABLE!$I$3:$O$13,N$2,FALSE)/VLOOKUP($M63,TABLE!$I$3:$O$13,N$2,FALSE)*F63</f>
        <v>10.11</v>
      </c>
      <c r="O63" s="51">
        <f>VLOOKUP($L63,TABLE!$I$3:$O$13,O$2,FALSE)/VLOOKUP($M63,TABLE!$I$3:$O$13,O$2,FALSE)*G63</f>
        <v>12.13</v>
      </c>
      <c r="P63" s="51">
        <f>VLOOKUP($L63,TABLE!$I$3:$O$13,P$2,FALSE)/VLOOKUP($M63,TABLE!$I$3:$O$13,P$2,FALSE)*H63</f>
        <v>14.32</v>
      </c>
      <c r="Q63" s="51">
        <f>VLOOKUP($L63,TABLE!$I$3:$O$13,Q$2,FALSE)/VLOOKUP($M63,TABLE!$I$3:$O$13,Q$2,FALSE)*I63</f>
        <v>14.71</v>
      </c>
      <c r="R63" s="51">
        <f>VLOOKUP($L63,TABLE!$I$3:$O$13,R$2,FALSE)/VLOOKUP($M63,TABLE!$I$3:$O$13,R$2,FALSE)*J63</f>
        <v>14.04</v>
      </c>
    </row>
    <row r="64" spans="2:18">
      <c r="B64" t="s">
        <v>14</v>
      </c>
      <c r="C64" t="s">
        <v>124</v>
      </c>
      <c r="D64" t="s">
        <v>15</v>
      </c>
      <c r="E64" t="s">
        <v>270</v>
      </c>
      <c r="F64" s="51">
        <v>59.25</v>
      </c>
      <c r="G64" s="51">
        <v>53.05</v>
      </c>
      <c r="H64" s="51">
        <v>60.25</v>
      </c>
      <c r="I64" s="51">
        <v>68.209999999999994</v>
      </c>
      <c r="J64" s="51">
        <v>81.5</v>
      </c>
      <c r="L64" t="str">
        <f>VLOOKUP(B64,TABLE!D:E,2,FALSE)</f>
        <v>USD</v>
      </c>
      <c r="M64" t="str">
        <f t="shared" si="0"/>
        <v>USD</v>
      </c>
      <c r="N64" s="51">
        <f>VLOOKUP($L64,TABLE!$I$3:$O$13,N$2,FALSE)/VLOOKUP($M64,TABLE!$I$3:$O$13,N$2,FALSE)*F64</f>
        <v>59.25</v>
      </c>
      <c r="O64" s="51">
        <f>VLOOKUP($L64,TABLE!$I$3:$O$13,O$2,FALSE)/VLOOKUP($M64,TABLE!$I$3:$O$13,O$2,FALSE)*G64</f>
        <v>53.05</v>
      </c>
      <c r="P64" s="51">
        <f>VLOOKUP($L64,TABLE!$I$3:$O$13,P$2,FALSE)/VLOOKUP($M64,TABLE!$I$3:$O$13,P$2,FALSE)*H64</f>
        <v>60.25</v>
      </c>
      <c r="Q64" s="51">
        <f>VLOOKUP($L64,TABLE!$I$3:$O$13,Q$2,FALSE)/VLOOKUP($M64,TABLE!$I$3:$O$13,Q$2,FALSE)*I64</f>
        <v>68.209999999999994</v>
      </c>
      <c r="R64" s="51">
        <f>VLOOKUP($L64,TABLE!$I$3:$O$13,R$2,FALSE)/VLOOKUP($M64,TABLE!$I$3:$O$13,R$2,FALSE)*J64</f>
        <v>81.5</v>
      </c>
    </row>
    <row r="65" spans="2:18">
      <c r="B65" t="s">
        <v>14</v>
      </c>
      <c r="C65" t="s">
        <v>124</v>
      </c>
      <c r="D65" t="s">
        <v>18</v>
      </c>
      <c r="E65" t="s">
        <v>271</v>
      </c>
      <c r="F65" s="51">
        <v>136.86000000000001</v>
      </c>
      <c r="G65" s="51">
        <v>138.9</v>
      </c>
      <c r="H65" s="51">
        <v>144.6</v>
      </c>
      <c r="I65" s="51">
        <v>149.41999999999999</v>
      </c>
      <c r="J65" s="51">
        <v>166.34</v>
      </c>
      <c r="L65" t="str">
        <f>VLOOKUP(B65,TABLE!D:E,2,FALSE)</f>
        <v>USD</v>
      </c>
      <c r="M65" t="str">
        <f t="shared" si="0"/>
        <v>USD</v>
      </c>
      <c r="N65" s="51">
        <f>VLOOKUP($L65,TABLE!$I$3:$O$13,N$2,FALSE)/VLOOKUP($M65,TABLE!$I$3:$O$13,N$2,FALSE)*F65</f>
        <v>136.86000000000001</v>
      </c>
      <c r="O65" s="51">
        <f>VLOOKUP($L65,TABLE!$I$3:$O$13,O$2,FALSE)/VLOOKUP($M65,TABLE!$I$3:$O$13,O$2,FALSE)*G65</f>
        <v>138.9</v>
      </c>
      <c r="P65" s="51">
        <f>VLOOKUP($L65,TABLE!$I$3:$O$13,P$2,FALSE)/VLOOKUP($M65,TABLE!$I$3:$O$13,P$2,FALSE)*H65</f>
        <v>144.6</v>
      </c>
      <c r="Q65" s="51">
        <f>VLOOKUP($L65,TABLE!$I$3:$O$13,Q$2,FALSE)/VLOOKUP($M65,TABLE!$I$3:$O$13,Q$2,FALSE)*I65</f>
        <v>149.41999999999999</v>
      </c>
      <c r="R65" s="51">
        <f>VLOOKUP($L65,TABLE!$I$3:$O$13,R$2,FALSE)/VLOOKUP($M65,TABLE!$I$3:$O$13,R$2,FALSE)*J65</f>
        <v>166.34</v>
      </c>
    </row>
    <row r="66" spans="2:18">
      <c r="B66" t="s">
        <v>14</v>
      </c>
      <c r="C66" t="s">
        <v>124</v>
      </c>
      <c r="D66" t="s">
        <v>21</v>
      </c>
      <c r="E66" t="s">
        <v>272</v>
      </c>
      <c r="F66" s="51">
        <v>52.44</v>
      </c>
      <c r="G66" s="51">
        <v>46.05</v>
      </c>
      <c r="H66" s="51">
        <v>48.93</v>
      </c>
      <c r="I66" s="51">
        <v>53.99</v>
      </c>
      <c r="J66" s="51">
        <v>62.41</v>
      </c>
      <c r="L66" t="str">
        <f>VLOOKUP(B66,TABLE!D:E,2,FALSE)</f>
        <v>USD</v>
      </c>
      <c r="M66" t="str">
        <f t="shared" si="0"/>
        <v>USD</v>
      </c>
      <c r="N66" s="51">
        <f>VLOOKUP($L66,TABLE!$I$3:$O$13,N$2,FALSE)/VLOOKUP($M66,TABLE!$I$3:$O$13,N$2,FALSE)*F66</f>
        <v>52.44</v>
      </c>
      <c r="O66" s="51">
        <f>VLOOKUP($L66,TABLE!$I$3:$O$13,O$2,FALSE)/VLOOKUP($M66,TABLE!$I$3:$O$13,O$2,FALSE)*G66</f>
        <v>46.05</v>
      </c>
      <c r="P66" s="51">
        <f>VLOOKUP($L66,TABLE!$I$3:$O$13,P$2,FALSE)/VLOOKUP($M66,TABLE!$I$3:$O$13,P$2,FALSE)*H66</f>
        <v>48.93</v>
      </c>
      <c r="Q66" s="51">
        <f>VLOOKUP($L66,TABLE!$I$3:$O$13,Q$2,FALSE)/VLOOKUP($M66,TABLE!$I$3:$O$13,Q$2,FALSE)*I66</f>
        <v>53.99</v>
      </c>
      <c r="R66" s="51">
        <f>VLOOKUP($L66,TABLE!$I$3:$O$13,R$2,FALSE)/VLOOKUP($M66,TABLE!$I$3:$O$13,R$2,FALSE)*J66</f>
        <v>62.41</v>
      </c>
    </row>
    <row r="67" spans="2:18">
      <c r="B67" t="s">
        <v>14</v>
      </c>
      <c r="C67" t="s">
        <v>124</v>
      </c>
      <c r="D67" t="s">
        <v>20</v>
      </c>
      <c r="E67" t="s">
        <v>273</v>
      </c>
      <c r="F67" s="51">
        <v>18.73</v>
      </c>
      <c r="G67" s="51">
        <v>21.5</v>
      </c>
      <c r="H67" s="51">
        <v>24.49</v>
      </c>
      <c r="I67" s="51">
        <v>25.17</v>
      </c>
      <c r="J67" s="51">
        <v>23.62</v>
      </c>
      <c r="L67" t="str">
        <f>VLOOKUP(B67,TABLE!D:E,2,FALSE)</f>
        <v>USD</v>
      </c>
      <c r="M67" t="str">
        <f t="shared" si="0"/>
        <v>USD</v>
      </c>
      <c r="N67" s="51">
        <f>VLOOKUP($L67,TABLE!$I$3:$O$13,N$2,FALSE)/VLOOKUP($M67,TABLE!$I$3:$O$13,N$2,FALSE)*F67</f>
        <v>18.73</v>
      </c>
      <c r="O67" s="51">
        <f>VLOOKUP($L67,TABLE!$I$3:$O$13,O$2,FALSE)/VLOOKUP($M67,TABLE!$I$3:$O$13,O$2,FALSE)*G67</f>
        <v>21.5</v>
      </c>
      <c r="P67" s="51">
        <f>VLOOKUP($L67,TABLE!$I$3:$O$13,P$2,FALSE)/VLOOKUP($M67,TABLE!$I$3:$O$13,P$2,FALSE)*H67</f>
        <v>24.49</v>
      </c>
      <c r="Q67" s="51">
        <f>VLOOKUP($L67,TABLE!$I$3:$O$13,Q$2,FALSE)/VLOOKUP($M67,TABLE!$I$3:$O$13,Q$2,FALSE)*I67</f>
        <v>25.17</v>
      </c>
      <c r="R67" s="51">
        <f>VLOOKUP($L67,TABLE!$I$3:$O$13,R$2,FALSE)/VLOOKUP($M67,TABLE!$I$3:$O$13,R$2,FALSE)*J67</f>
        <v>23.62</v>
      </c>
    </row>
    <row r="68" spans="2:18">
      <c r="B68" t="s">
        <v>14</v>
      </c>
      <c r="C68" t="s">
        <v>124</v>
      </c>
      <c r="D68" t="s">
        <v>25</v>
      </c>
      <c r="E68" t="s">
        <v>274</v>
      </c>
      <c r="F68" s="51">
        <v>28.96</v>
      </c>
      <c r="G68" s="51">
        <v>37.159999999999997</v>
      </c>
      <c r="H68" s="51">
        <v>38.99</v>
      </c>
      <c r="I68" s="51">
        <v>37</v>
      </c>
      <c r="J68" s="51">
        <v>43.17</v>
      </c>
      <c r="L68" t="str">
        <f>VLOOKUP(B68,TABLE!D:E,2,FALSE)</f>
        <v>USD</v>
      </c>
      <c r="M68" t="str">
        <f t="shared" si="0"/>
        <v>USD</v>
      </c>
      <c r="N68" s="51">
        <f>VLOOKUP($L68,TABLE!$I$3:$O$13,N$2,FALSE)/VLOOKUP($M68,TABLE!$I$3:$O$13,N$2,FALSE)*F68</f>
        <v>28.96</v>
      </c>
      <c r="O68" s="51">
        <f>VLOOKUP($L68,TABLE!$I$3:$O$13,O$2,FALSE)/VLOOKUP($M68,TABLE!$I$3:$O$13,O$2,FALSE)*G68</f>
        <v>37.159999999999997</v>
      </c>
      <c r="P68" s="51">
        <f>VLOOKUP($L68,TABLE!$I$3:$O$13,P$2,FALSE)/VLOOKUP($M68,TABLE!$I$3:$O$13,P$2,FALSE)*H68</f>
        <v>38.99</v>
      </c>
      <c r="Q68" s="51">
        <f>VLOOKUP($L68,TABLE!$I$3:$O$13,Q$2,FALSE)/VLOOKUP($M68,TABLE!$I$3:$O$13,Q$2,FALSE)*I68</f>
        <v>37</v>
      </c>
      <c r="R68" s="51">
        <f>VLOOKUP($L68,TABLE!$I$3:$O$13,R$2,FALSE)/VLOOKUP($M68,TABLE!$I$3:$O$13,R$2,FALSE)*J68</f>
        <v>43.17</v>
      </c>
    </row>
    <row r="69" spans="2:18">
      <c r="B69" t="s">
        <v>14</v>
      </c>
      <c r="C69" t="s">
        <v>124</v>
      </c>
      <c r="D69" t="s">
        <v>30</v>
      </c>
      <c r="E69" t="s">
        <v>275</v>
      </c>
      <c r="F69" s="51">
        <v>104.59</v>
      </c>
      <c r="G69" s="51">
        <v>135.59</v>
      </c>
      <c r="H69" s="51">
        <v>150.28</v>
      </c>
      <c r="I69" s="51">
        <v>152.26</v>
      </c>
      <c r="J69" s="51">
        <v>155.43</v>
      </c>
      <c r="L69" t="str">
        <f>VLOOKUP(B69,TABLE!D:E,2,FALSE)</f>
        <v>USD</v>
      </c>
      <c r="M69" t="str">
        <f t="shared" ref="M69:M132" si="1">IF(M$1="LC",L69,M$1)</f>
        <v>USD</v>
      </c>
      <c r="N69" s="51">
        <f>VLOOKUP($L69,TABLE!$I$3:$O$13,N$2,FALSE)/VLOOKUP($M69,TABLE!$I$3:$O$13,N$2,FALSE)*F69</f>
        <v>104.59</v>
      </c>
      <c r="O69" s="51">
        <f>VLOOKUP($L69,TABLE!$I$3:$O$13,O$2,FALSE)/VLOOKUP($M69,TABLE!$I$3:$O$13,O$2,FALSE)*G69</f>
        <v>135.59</v>
      </c>
      <c r="P69" s="51">
        <f>VLOOKUP($L69,TABLE!$I$3:$O$13,P$2,FALSE)/VLOOKUP($M69,TABLE!$I$3:$O$13,P$2,FALSE)*H69</f>
        <v>150.28</v>
      </c>
      <c r="Q69" s="51">
        <f>VLOOKUP($L69,TABLE!$I$3:$O$13,Q$2,FALSE)/VLOOKUP($M69,TABLE!$I$3:$O$13,Q$2,FALSE)*I69</f>
        <v>152.26</v>
      </c>
      <c r="R69" s="51">
        <f>VLOOKUP($L69,TABLE!$I$3:$O$13,R$2,FALSE)/VLOOKUP($M69,TABLE!$I$3:$O$13,R$2,FALSE)*J69</f>
        <v>155.43</v>
      </c>
    </row>
    <row r="70" spans="2:18">
      <c r="B70" t="s">
        <v>14</v>
      </c>
      <c r="C70" t="s">
        <v>124</v>
      </c>
      <c r="D70" t="s">
        <v>34</v>
      </c>
      <c r="E70" t="s">
        <v>276</v>
      </c>
      <c r="F70" s="51">
        <v>-7.8</v>
      </c>
      <c r="G70" s="51">
        <v>16.8</v>
      </c>
      <c r="H70" s="51">
        <v>18.350000000000001</v>
      </c>
      <c r="I70" s="51">
        <v>17.010000000000002</v>
      </c>
      <c r="J70" s="51">
        <v>20.5</v>
      </c>
      <c r="L70" t="str">
        <f>VLOOKUP(B70,TABLE!D:E,2,FALSE)</f>
        <v>USD</v>
      </c>
      <c r="M70" t="str">
        <f t="shared" si="1"/>
        <v>USD</v>
      </c>
      <c r="N70" s="51">
        <f>VLOOKUP($L70,TABLE!$I$3:$O$13,N$2,FALSE)/VLOOKUP($M70,TABLE!$I$3:$O$13,N$2,FALSE)*F70</f>
        <v>-7.8</v>
      </c>
      <c r="O70" s="51">
        <f>VLOOKUP($L70,TABLE!$I$3:$O$13,O$2,FALSE)/VLOOKUP($M70,TABLE!$I$3:$O$13,O$2,FALSE)*G70</f>
        <v>16.8</v>
      </c>
      <c r="P70" s="51">
        <f>VLOOKUP($L70,TABLE!$I$3:$O$13,P$2,FALSE)/VLOOKUP($M70,TABLE!$I$3:$O$13,P$2,FALSE)*H70</f>
        <v>18.350000000000001</v>
      </c>
      <c r="Q70" s="51">
        <f>VLOOKUP($L70,TABLE!$I$3:$O$13,Q$2,FALSE)/VLOOKUP($M70,TABLE!$I$3:$O$13,Q$2,FALSE)*I70</f>
        <v>17.010000000000002</v>
      </c>
      <c r="R70" s="51">
        <f>VLOOKUP($L70,TABLE!$I$3:$O$13,R$2,FALSE)/VLOOKUP($M70,TABLE!$I$3:$O$13,R$2,FALSE)*J70</f>
        <v>20.5</v>
      </c>
    </row>
    <row r="71" spans="2:18">
      <c r="B71" t="s">
        <v>14</v>
      </c>
      <c r="C71" t="s">
        <v>124</v>
      </c>
      <c r="D71" t="s">
        <v>48</v>
      </c>
      <c r="E71" t="s">
        <v>277</v>
      </c>
      <c r="F71" s="51">
        <v>104.82</v>
      </c>
      <c r="G71" s="51">
        <v>6.17</v>
      </c>
      <c r="H71" s="51">
        <v>9.19</v>
      </c>
      <c r="I71" s="51">
        <v>6.19</v>
      </c>
      <c r="J71" s="51">
        <v>5.35</v>
      </c>
      <c r="L71" t="str">
        <f>VLOOKUP(B71,TABLE!D:E,2,FALSE)</f>
        <v>USD</v>
      </c>
      <c r="M71" t="str">
        <f t="shared" si="1"/>
        <v>USD</v>
      </c>
      <c r="N71" s="51">
        <f>VLOOKUP($L71,TABLE!$I$3:$O$13,N$2,FALSE)/VLOOKUP($M71,TABLE!$I$3:$O$13,N$2,FALSE)*F71</f>
        <v>104.82</v>
      </c>
      <c r="O71" s="51">
        <f>VLOOKUP($L71,TABLE!$I$3:$O$13,O$2,FALSE)/VLOOKUP($M71,TABLE!$I$3:$O$13,O$2,FALSE)*G71</f>
        <v>6.17</v>
      </c>
      <c r="P71" s="51">
        <f>VLOOKUP($L71,TABLE!$I$3:$O$13,P$2,FALSE)/VLOOKUP($M71,TABLE!$I$3:$O$13,P$2,FALSE)*H71</f>
        <v>9.19</v>
      </c>
      <c r="Q71" s="51">
        <f>VLOOKUP($L71,TABLE!$I$3:$O$13,Q$2,FALSE)/VLOOKUP($M71,TABLE!$I$3:$O$13,Q$2,FALSE)*I71</f>
        <v>6.19</v>
      </c>
      <c r="R71" s="51">
        <f>VLOOKUP($L71,TABLE!$I$3:$O$13,R$2,FALSE)/VLOOKUP($M71,TABLE!$I$3:$O$13,R$2,FALSE)*J71</f>
        <v>5.35</v>
      </c>
    </row>
    <row r="72" spans="2:18">
      <c r="B72" t="s">
        <v>14</v>
      </c>
      <c r="C72" t="s">
        <v>124</v>
      </c>
      <c r="D72" t="s">
        <v>50</v>
      </c>
      <c r="E72" t="s">
        <v>278</v>
      </c>
      <c r="F72" s="51">
        <v>-9.0399999999999991</v>
      </c>
      <c r="G72" s="51">
        <v>12.01</v>
      </c>
      <c r="H72" s="51">
        <v>13.54</v>
      </c>
      <c r="I72" s="51">
        <v>43.54</v>
      </c>
      <c r="J72" s="51">
        <v>16.22</v>
      </c>
      <c r="L72" t="str">
        <f>VLOOKUP(B72,TABLE!D:E,2,FALSE)</f>
        <v>USD</v>
      </c>
      <c r="M72" t="str">
        <f t="shared" si="1"/>
        <v>USD</v>
      </c>
      <c r="N72" s="51">
        <f>VLOOKUP($L72,TABLE!$I$3:$O$13,N$2,FALSE)/VLOOKUP($M72,TABLE!$I$3:$O$13,N$2,FALSE)*F72</f>
        <v>-9.0399999999999991</v>
      </c>
      <c r="O72" s="51">
        <f>VLOOKUP($L72,TABLE!$I$3:$O$13,O$2,FALSE)/VLOOKUP($M72,TABLE!$I$3:$O$13,O$2,FALSE)*G72</f>
        <v>12.01</v>
      </c>
      <c r="P72" s="51">
        <f>VLOOKUP($L72,TABLE!$I$3:$O$13,P$2,FALSE)/VLOOKUP($M72,TABLE!$I$3:$O$13,P$2,FALSE)*H72</f>
        <v>13.54</v>
      </c>
      <c r="Q72" s="51">
        <f>VLOOKUP($L72,TABLE!$I$3:$O$13,Q$2,FALSE)/VLOOKUP($M72,TABLE!$I$3:$O$13,Q$2,FALSE)*I72</f>
        <v>43.54</v>
      </c>
      <c r="R72" s="51">
        <f>VLOOKUP($L72,TABLE!$I$3:$O$13,R$2,FALSE)/VLOOKUP($M72,TABLE!$I$3:$O$13,R$2,FALSE)*J72</f>
        <v>16.22</v>
      </c>
    </row>
    <row r="73" spans="2:18">
      <c r="B73" t="s">
        <v>14</v>
      </c>
      <c r="C73" t="s">
        <v>124</v>
      </c>
      <c r="D73" t="s">
        <v>44</v>
      </c>
      <c r="E73" t="s">
        <v>279</v>
      </c>
      <c r="F73" s="51">
        <v>6.15</v>
      </c>
      <c r="G73" s="51">
        <v>1.1000000000000001</v>
      </c>
      <c r="H73" s="51">
        <v>0.54</v>
      </c>
      <c r="I73" s="51">
        <v>0.48899999999999999</v>
      </c>
      <c r="J73" s="51">
        <v>0.33400000000000002</v>
      </c>
      <c r="L73" t="str">
        <f>VLOOKUP(B73,TABLE!D:E,2,FALSE)</f>
        <v>USD</v>
      </c>
      <c r="M73" t="str">
        <f t="shared" si="1"/>
        <v>USD</v>
      </c>
      <c r="N73" s="51">
        <f>VLOOKUP($L73,TABLE!$I$3:$O$13,N$2,FALSE)/VLOOKUP($M73,TABLE!$I$3:$O$13,N$2,FALSE)*F73</f>
        <v>6.15</v>
      </c>
      <c r="O73" s="51">
        <f>VLOOKUP($L73,TABLE!$I$3:$O$13,O$2,FALSE)/VLOOKUP($M73,TABLE!$I$3:$O$13,O$2,FALSE)*G73</f>
        <v>1.1000000000000001</v>
      </c>
      <c r="P73" s="51">
        <f>VLOOKUP($L73,TABLE!$I$3:$O$13,P$2,FALSE)/VLOOKUP($M73,TABLE!$I$3:$O$13,P$2,FALSE)*H73</f>
        <v>0.54</v>
      </c>
      <c r="Q73" s="51">
        <f>VLOOKUP($L73,TABLE!$I$3:$O$13,Q$2,FALSE)/VLOOKUP($M73,TABLE!$I$3:$O$13,Q$2,FALSE)*I73</f>
        <v>0.48899999999999999</v>
      </c>
      <c r="R73" s="51">
        <f>VLOOKUP($L73,TABLE!$I$3:$O$13,R$2,FALSE)/VLOOKUP($M73,TABLE!$I$3:$O$13,R$2,FALSE)*J73</f>
        <v>0.33400000000000002</v>
      </c>
    </row>
    <row r="74" spans="2:18">
      <c r="B74" t="s">
        <v>14</v>
      </c>
      <c r="C74" t="s">
        <v>124</v>
      </c>
      <c r="D74" t="s">
        <v>42</v>
      </c>
      <c r="E74" t="s">
        <v>280</v>
      </c>
      <c r="F74" s="51">
        <v>1.29</v>
      </c>
      <c r="G74" s="51">
        <v>1.56</v>
      </c>
      <c r="H74" s="51">
        <v>0.45500000000000002</v>
      </c>
      <c r="I74" s="51">
        <v>0.34300000000000003</v>
      </c>
      <c r="J74" s="51">
        <v>0.246</v>
      </c>
      <c r="L74" t="str">
        <f>VLOOKUP(B74,TABLE!D:E,2,FALSE)</f>
        <v>USD</v>
      </c>
      <c r="M74" t="str">
        <f t="shared" si="1"/>
        <v>USD</v>
      </c>
      <c r="N74" s="51">
        <f>VLOOKUP($L74,TABLE!$I$3:$O$13,N$2,FALSE)/VLOOKUP($M74,TABLE!$I$3:$O$13,N$2,FALSE)*F74</f>
        <v>1.29</v>
      </c>
      <c r="O74" s="51">
        <f>VLOOKUP($L74,TABLE!$I$3:$O$13,O$2,FALSE)/VLOOKUP($M74,TABLE!$I$3:$O$13,O$2,FALSE)*G74</f>
        <v>1.56</v>
      </c>
      <c r="P74" s="51">
        <f>VLOOKUP($L74,TABLE!$I$3:$O$13,P$2,FALSE)/VLOOKUP($M74,TABLE!$I$3:$O$13,P$2,FALSE)*H74</f>
        <v>0.45500000000000002</v>
      </c>
      <c r="Q74" s="51">
        <f>VLOOKUP($L74,TABLE!$I$3:$O$13,Q$2,FALSE)/VLOOKUP($M74,TABLE!$I$3:$O$13,Q$2,FALSE)*I74</f>
        <v>0.34300000000000003</v>
      </c>
      <c r="R74" s="51">
        <f>VLOOKUP($L74,TABLE!$I$3:$O$13,R$2,FALSE)/VLOOKUP($M74,TABLE!$I$3:$O$13,R$2,FALSE)*J74</f>
        <v>0.246</v>
      </c>
    </row>
    <row r="75" spans="2:18">
      <c r="B75" t="s">
        <v>14</v>
      </c>
      <c r="C75" t="s">
        <v>124</v>
      </c>
      <c r="D75" t="s">
        <v>145</v>
      </c>
      <c r="E75" t="s">
        <v>281</v>
      </c>
      <c r="F75" s="51"/>
      <c r="G75" s="51"/>
      <c r="H75" s="51"/>
      <c r="I75" s="51"/>
      <c r="J75" s="51"/>
      <c r="L75" t="str">
        <f>VLOOKUP(B75,TABLE!D:E,2,FALSE)</f>
        <v>USD</v>
      </c>
      <c r="M75" t="str">
        <f t="shared" si="1"/>
        <v>USD</v>
      </c>
      <c r="N75" s="51">
        <f>VLOOKUP($L75,TABLE!$I$3:$O$13,N$2,FALSE)/VLOOKUP($M75,TABLE!$I$3:$O$13,N$2,FALSE)*F75</f>
        <v>0</v>
      </c>
      <c r="O75" s="51">
        <f>VLOOKUP($L75,TABLE!$I$3:$O$13,O$2,FALSE)/VLOOKUP($M75,TABLE!$I$3:$O$13,O$2,FALSE)*G75</f>
        <v>0</v>
      </c>
      <c r="P75" s="51">
        <f>VLOOKUP($L75,TABLE!$I$3:$O$13,P$2,FALSE)/VLOOKUP($M75,TABLE!$I$3:$O$13,P$2,FALSE)*H75</f>
        <v>0</v>
      </c>
      <c r="Q75" s="51">
        <f>VLOOKUP($L75,TABLE!$I$3:$O$13,Q$2,FALSE)/VLOOKUP($M75,TABLE!$I$3:$O$13,Q$2,FALSE)*I75</f>
        <v>0</v>
      </c>
      <c r="R75" s="51">
        <f>VLOOKUP($L75,TABLE!$I$3:$O$13,R$2,FALSE)/VLOOKUP($M75,TABLE!$I$3:$O$13,R$2,FALSE)*J75</f>
        <v>0</v>
      </c>
    </row>
    <row r="76" spans="2:18">
      <c r="B76" t="s">
        <v>14</v>
      </c>
      <c r="C76" t="s">
        <v>124</v>
      </c>
      <c r="D76" t="s">
        <v>36</v>
      </c>
      <c r="E76" t="s">
        <v>282</v>
      </c>
      <c r="F76" s="51">
        <v>12.17</v>
      </c>
      <c r="G76" s="51">
        <v>11.45</v>
      </c>
      <c r="H76" s="51">
        <v>12.16</v>
      </c>
      <c r="I76" s="51">
        <v>11.79</v>
      </c>
      <c r="J76" s="51">
        <v>12.32</v>
      </c>
      <c r="L76" t="str">
        <f>VLOOKUP(B76,TABLE!D:E,2,FALSE)</f>
        <v>USD</v>
      </c>
      <c r="M76" t="str">
        <f t="shared" si="1"/>
        <v>USD</v>
      </c>
      <c r="N76" s="51">
        <f>VLOOKUP($L76,TABLE!$I$3:$O$13,N$2,FALSE)/VLOOKUP($M76,TABLE!$I$3:$O$13,N$2,FALSE)*F76</f>
        <v>12.17</v>
      </c>
      <c r="O76" s="51">
        <f>VLOOKUP($L76,TABLE!$I$3:$O$13,O$2,FALSE)/VLOOKUP($M76,TABLE!$I$3:$O$13,O$2,FALSE)*G76</f>
        <v>11.45</v>
      </c>
      <c r="P76" s="51">
        <f>VLOOKUP($L76,TABLE!$I$3:$O$13,P$2,FALSE)/VLOOKUP($M76,TABLE!$I$3:$O$13,P$2,FALSE)*H76</f>
        <v>12.16</v>
      </c>
      <c r="Q76" s="51">
        <f>VLOOKUP($L76,TABLE!$I$3:$O$13,Q$2,FALSE)/VLOOKUP($M76,TABLE!$I$3:$O$13,Q$2,FALSE)*I76</f>
        <v>11.79</v>
      </c>
      <c r="R76" s="51">
        <f>VLOOKUP($L76,TABLE!$I$3:$O$13,R$2,FALSE)/VLOOKUP($M76,TABLE!$I$3:$O$13,R$2,FALSE)*J76</f>
        <v>12.32</v>
      </c>
    </row>
    <row r="77" spans="2:18">
      <c r="B77" t="s">
        <v>14</v>
      </c>
      <c r="C77" t="s">
        <v>124</v>
      </c>
      <c r="D77" t="s">
        <v>38</v>
      </c>
      <c r="E77" t="s">
        <v>283</v>
      </c>
      <c r="F77" s="51">
        <v>0</v>
      </c>
      <c r="G77" s="51">
        <v>0</v>
      </c>
      <c r="H77" s="51">
        <v>8.1199999999999992</v>
      </c>
      <c r="I77" s="51">
        <v>7.37</v>
      </c>
      <c r="J77" s="51">
        <v>7.2</v>
      </c>
      <c r="L77" t="str">
        <f>VLOOKUP(B77,TABLE!D:E,2,FALSE)</f>
        <v>USD</v>
      </c>
      <c r="M77" t="str">
        <f t="shared" si="1"/>
        <v>USD</v>
      </c>
      <c r="N77" s="51">
        <f>VLOOKUP($L77,TABLE!$I$3:$O$13,N$2,FALSE)/VLOOKUP($M77,TABLE!$I$3:$O$13,N$2,FALSE)*F77</f>
        <v>0</v>
      </c>
      <c r="O77" s="51">
        <f>VLOOKUP($L77,TABLE!$I$3:$O$13,O$2,FALSE)/VLOOKUP($M77,TABLE!$I$3:$O$13,O$2,FALSE)*G77</f>
        <v>0</v>
      </c>
      <c r="P77" s="51">
        <f>VLOOKUP($L77,TABLE!$I$3:$O$13,P$2,FALSE)/VLOOKUP($M77,TABLE!$I$3:$O$13,P$2,FALSE)*H77</f>
        <v>8.1199999999999992</v>
      </c>
      <c r="Q77" s="51">
        <f>VLOOKUP($L77,TABLE!$I$3:$O$13,Q$2,FALSE)/VLOOKUP($M77,TABLE!$I$3:$O$13,Q$2,FALSE)*I77</f>
        <v>7.37</v>
      </c>
      <c r="R77" s="51">
        <f>VLOOKUP($L77,TABLE!$I$3:$O$13,R$2,FALSE)/VLOOKUP($M77,TABLE!$I$3:$O$13,R$2,FALSE)*J77</f>
        <v>7.2</v>
      </c>
    </row>
    <row r="78" spans="2:18">
      <c r="B78" t="s">
        <v>14</v>
      </c>
      <c r="C78" t="s">
        <v>124</v>
      </c>
      <c r="D78" t="s">
        <v>40</v>
      </c>
      <c r="E78" t="s">
        <v>284</v>
      </c>
      <c r="F78" s="51">
        <v>12.17</v>
      </c>
      <c r="G78" s="51">
        <v>11.45</v>
      </c>
      <c r="H78" s="51">
        <v>4.04</v>
      </c>
      <c r="I78" s="51">
        <v>4.43</v>
      </c>
      <c r="J78" s="51">
        <v>5.12</v>
      </c>
      <c r="L78" t="str">
        <f>VLOOKUP(B78,TABLE!D:E,2,FALSE)</f>
        <v>USD</v>
      </c>
      <c r="M78" t="str">
        <f t="shared" si="1"/>
        <v>USD</v>
      </c>
      <c r="N78" s="51">
        <f>VLOOKUP($L78,TABLE!$I$3:$O$13,N$2,FALSE)/VLOOKUP($M78,TABLE!$I$3:$O$13,N$2,FALSE)*F78</f>
        <v>12.17</v>
      </c>
      <c r="O78" s="51">
        <f>VLOOKUP($L78,TABLE!$I$3:$O$13,O$2,FALSE)/VLOOKUP($M78,TABLE!$I$3:$O$13,O$2,FALSE)*G78</f>
        <v>11.45</v>
      </c>
      <c r="P78" s="51">
        <f>VLOOKUP($L78,TABLE!$I$3:$O$13,P$2,FALSE)/VLOOKUP($M78,TABLE!$I$3:$O$13,P$2,FALSE)*H78</f>
        <v>4.04</v>
      </c>
      <c r="Q78" s="51">
        <f>VLOOKUP($L78,TABLE!$I$3:$O$13,Q$2,FALSE)/VLOOKUP($M78,TABLE!$I$3:$O$13,Q$2,FALSE)*I78</f>
        <v>4.43</v>
      </c>
      <c r="R78" s="51">
        <f>VLOOKUP($L78,TABLE!$I$3:$O$13,R$2,FALSE)/VLOOKUP($M78,TABLE!$I$3:$O$13,R$2,FALSE)*J78</f>
        <v>5.12</v>
      </c>
    </row>
    <row r="79" spans="2:18">
      <c r="B79" t="s">
        <v>14</v>
      </c>
      <c r="C79" t="s">
        <v>124</v>
      </c>
      <c r="D79" t="s">
        <v>46</v>
      </c>
      <c r="E79" t="s">
        <v>285</v>
      </c>
      <c r="F79" s="51">
        <v>102.49</v>
      </c>
      <c r="G79" s="51">
        <v>5.74</v>
      </c>
      <c r="H79" s="51">
        <v>5.99</v>
      </c>
      <c r="I79" s="51">
        <v>-30.26</v>
      </c>
      <c r="J79" s="51">
        <v>7.46</v>
      </c>
      <c r="L79" t="str">
        <f>VLOOKUP(B79,TABLE!D:E,2,FALSE)</f>
        <v>USD</v>
      </c>
      <c r="M79" t="str">
        <f t="shared" si="1"/>
        <v>USD</v>
      </c>
      <c r="N79" s="51">
        <f>VLOOKUP($L79,TABLE!$I$3:$O$13,N$2,FALSE)/VLOOKUP($M79,TABLE!$I$3:$O$13,N$2,FALSE)*F79</f>
        <v>102.49</v>
      </c>
      <c r="O79" s="51">
        <f>VLOOKUP($L79,TABLE!$I$3:$O$13,O$2,FALSE)/VLOOKUP($M79,TABLE!$I$3:$O$13,O$2,FALSE)*G79</f>
        <v>5.74</v>
      </c>
      <c r="P79" s="51">
        <f>VLOOKUP($L79,TABLE!$I$3:$O$13,P$2,FALSE)/VLOOKUP($M79,TABLE!$I$3:$O$13,P$2,FALSE)*H79</f>
        <v>5.99</v>
      </c>
      <c r="Q79" s="51">
        <f>VLOOKUP($L79,TABLE!$I$3:$O$13,Q$2,FALSE)/VLOOKUP($M79,TABLE!$I$3:$O$13,Q$2,FALSE)*I79</f>
        <v>-30.26</v>
      </c>
      <c r="R79" s="51">
        <f>VLOOKUP($L79,TABLE!$I$3:$O$13,R$2,FALSE)/VLOOKUP($M79,TABLE!$I$3:$O$13,R$2,FALSE)*J79</f>
        <v>7.46</v>
      </c>
    </row>
    <row r="80" spans="2:18">
      <c r="B80" t="s">
        <v>16</v>
      </c>
      <c r="C80" t="s">
        <v>124</v>
      </c>
      <c r="D80" t="s">
        <v>9</v>
      </c>
      <c r="E80" t="s">
        <v>286</v>
      </c>
      <c r="F80" s="51">
        <v>2980</v>
      </c>
      <c r="G80" s="51">
        <v>4050</v>
      </c>
      <c r="H80" s="51">
        <v>3510</v>
      </c>
      <c r="I80" s="51">
        <v>2940</v>
      </c>
      <c r="J80" s="51">
        <v>3270</v>
      </c>
      <c r="L80" t="str">
        <f>VLOOKUP(B80,TABLE!D:E,2,FALSE)</f>
        <v>JPY</v>
      </c>
      <c r="M80" t="str">
        <f t="shared" si="1"/>
        <v>USD</v>
      </c>
      <c r="N80" s="51">
        <f>VLOOKUP($L80,TABLE!$I$3:$O$13,N$2,FALSE)/VLOOKUP($M80,TABLE!$I$3:$O$13,N$2,FALSE)*F80</f>
        <v>32.190914311968754</v>
      </c>
      <c r="O80" s="51">
        <f>VLOOKUP($L80,TABLE!$I$3:$O$13,O$2,FALSE)/VLOOKUP($M80,TABLE!$I$3:$O$13,O$2,FALSE)*G80</f>
        <v>49.828952106589853</v>
      </c>
      <c r="P80" s="51">
        <f>VLOOKUP($L80,TABLE!$I$3:$O$13,P$2,FALSE)/VLOOKUP($M80,TABLE!$I$3:$O$13,P$2,FALSE)*H80</f>
        <v>45.488911397803598</v>
      </c>
      <c r="Q80" s="51">
        <f>VLOOKUP($L80,TABLE!$I$3:$O$13,Q$2,FALSE)/VLOOKUP($M80,TABLE!$I$3:$O$13,Q$2,FALSE)*I80</f>
        <v>34.126156104722298</v>
      </c>
      <c r="R80" s="51">
        <f>VLOOKUP($L80,TABLE!$I$3:$O$13,R$2,FALSE)/VLOOKUP($M80,TABLE!$I$3:$O$13,R$2,FALSE)*J80</f>
        <v>31.170110134039099</v>
      </c>
    </row>
    <row r="81" spans="2:18">
      <c r="B81" t="s">
        <v>16</v>
      </c>
      <c r="C81" t="s">
        <v>124</v>
      </c>
      <c r="D81" t="s">
        <v>11</v>
      </c>
      <c r="E81" t="s">
        <v>287</v>
      </c>
      <c r="F81" s="51">
        <v>1390</v>
      </c>
      <c r="G81" s="51">
        <v>1890</v>
      </c>
      <c r="H81" s="51">
        <v>1450</v>
      </c>
      <c r="I81" s="51">
        <v>2000</v>
      </c>
      <c r="J81" s="51">
        <v>1970</v>
      </c>
      <c r="L81" t="str">
        <f>VLOOKUP(B81,TABLE!D:E,2,FALSE)</f>
        <v>JPY</v>
      </c>
      <c r="M81" t="str">
        <f t="shared" si="1"/>
        <v>USD</v>
      </c>
      <c r="N81" s="51">
        <f>VLOOKUP($L81,TABLE!$I$3:$O$13,N$2,FALSE)/VLOOKUP($M81,TABLE!$I$3:$O$13,N$2,FALSE)*F81</f>
        <v>15.015225132092809</v>
      </c>
      <c r="O81" s="51">
        <f>VLOOKUP($L81,TABLE!$I$3:$O$13,O$2,FALSE)/VLOOKUP($M81,TABLE!$I$3:$O$13,O$2,FALSE)*G81</f>
        <v>23.253510983075262</v>
      </c>
      <c r="P81" s="51">
        <f>VLOOKUP($L81,TABLE!$I$3:$O$13,P$2,FALSE)/VLOOKUP($M81,TABLE!$I$3:$O$13,P$2,FALSE)*H81</f>
        <v>18.79171553470519</v>
      </c>
      <c r="Q81" s="51">
        <f>VLOOKUP($L81,TABLE!$I$3:$O$13,Q$2,FALSE)/VLOOKUP($M81,TABLE!$I$3:$O$13,Q$2,FALSE)*I81</f>
        <v>23.215072180083194</v>
      </c>
      <c r="R81" s="51">
        <f>VLOOKUP($L81,TABLE!$I$3:$O$13,R$2,FALSE)/VLOOKUP($M81,TABLE!$I$3:$O$13,R$2,FALSE)*J81</f>
        <v>18.778323230598478</v>
      </c>
    </row>
    <row r="82" spans="2:18">
      <c r="B82" t="s">
        <v>16</v>
      </c>
      <c r="C82" t="s">
        <v>124</v>
      </c>
      <c r="D82" t="s">
        <v>13</v>
      </c>
      <c r="E82" t="s">
        <v>288</v>
      </c>
      <c r="F82" s="51">
        <v>1460</v>
      </c>
      <c r="G82" s="51">
        <v>1420</v>
      </c>
      <c r="H82" s="51">
        <v>1300</v>
      </c>
      <c r="I82" s="51">
        <v>1620</v>
      </c>
      <c r="J82" s="51">
        <v>1720</v>
      </c>
      <c r="L82" t="str">
        <f>VLOOKUP(B82,TABLE!D:E,2,FALSE)</f>
        <v>JPY</v>
      </c>
      <c r="M82" t="str">
        <f t="shared" si="1"/>
        <v>USD</v>
      </c>
      <c r="N82" s="51">
        <f>VLOOKUP($L82,TABLE!$I$3:$O$13,N$2,FALSE)/VLOOKUP($M82,TABLE!$I$3:$O$13,N$2,FALSE)*F82</f>
        <v>15.771387548816907</v>
      </c>
      <c r="O82" s="51">
        <f>VLOOKUP($L82,TABLE!$I$3:$O$13,O$2,FALSE)/VLOOKUP($M82,TABLE!$I$3:$O$13,O$2,FALSE)*G82</f>
        <v>17.470891849717923</v>
      </c>
      <c r="P82" s="51">
        <f>VLOOKUP($L82,TABLE!$I$3:$O$13,P$2,FALSE)/VLOOKUP($M82,TABLE!$I$3:$O$13,P$2,FALSE)*H82</f>
        <v>16.847744962149481</v>
      </c>
      <c r="Q82" s="51">
        <f>VLOOKUP($L82,TABLE!$I$3:$O$13,Q$2,FALSE)/VLOOKUP($M82,TABLE!$I$3:$O$13,Q$2,FALSE)*I82</f>
        <v>18.804208465867386</v>
      </c>
      <c r="R82" s="51">
        <f>VLOOKUP($L82,TABLE!$I$3:$O$13,R$2,FALSE)/VLOOKUP($M82,TABLE!$I$3:$O$13,R$2,FALSE)*J82</f>
        <v>16.395287287629127</v>
      </c>
    </row>
    <row r="83" spans="2:18">
      <c r="B83" t="s">
        <v>16</v>
      </c>
      <c r="C83" t="s">
        <v>124</v>
      </c>
      <c r="D83" t="s">
        <v>15</v>
      </c>
      <c r="E83" t="s">
        <v>289</v>
      </c>
      <c r="F83" s="51">
        <v>11300</v>
      </c>
      <c r="G83" s="51">
        <v>13070</v>
      </c>
      <c r="H83" s="51">
        <v>11830</v>
      </c>
      <c r="I83" s="51">
        <v>12320</v>
      </c>
      <c r="J83" s="51">
        <v>13780</v>
      </c>
      <c r="L83" t="str">
        <f>VLOOKUP(B83,TABLE!D:E,2,FALSE)</f>
        <v>JPY</v>
      </c>
      <c r="M83" t="str">
        <f t="shared" si="1"/>
        <v>USD</v>
      </c>
      <c r="N83" s="51">
        <f>VLOOKUP($L83,TABLE!$I$3:$O$13,N$2,FALSE)/VLOOKUP($M83,TABLE!$I$3:$O$13,N$2,FALSE)*F83</f>
        <v>122.0662186997473</v>
      </c>
      <c r="O83" s="51">
        <f>VLOOKUP($L83,TABLE!$I$3:$O$13,O$2,FALSE)/VLOOKUP($M83,TABLE!$I$3:$O$13,O$2,FALSE)*G83</f>
        <v>160.80602568719243</v>
      </c>
      <c r="P83" s="51">
        <f>VLOOKUP($L83,TABLE!$I$3:$O$13,P$2,FALSE)/VLOOKUP($M83,TABLE!$I$3:$O$13,P$2,FALSE)*H83</f>
        <v>153.31447915556029</v>
      </c>
      <c r="Q83" s="51">
        <f>VLOOKUP($L83,TABLE!$I$3:$O$13,Q$2,FALSE)/VLOOKUP($M83,TABLE!$I$3:$O$13,Q$2,FALSE)*I83</f>
        <v>143.00484462931249</v>
      </c>
      <c r="R83" s="51">
        <f>VLOOKUP($L83,TABLE!$I$3:$O$13,R$2,FALSE)/VLOOKUP($M83,TABLE!$I$3:$O$13,R$2,FALSE)*J83</f>
        <v>131.35294117647058</v>
      </c>
    </row>
    <row r="84" spans="2:18">
      <c r="B84" t="s">
        <v>16</v>
      </c>
      <c r="C84" t="s">
        <v>124</v>
      </c>
      <c r="D84" t="s">
        <v>18</v>
      </c>
      <c r="E84" t="s">
        <v>290</v>
      </c>
      <c r="F84" s="51">
        <v>29060</v>
      </c>
      <c r="G84" s="51">
        <v>30350</v>
      </c>
      <c r="H84" s="51">
        <v>29820</v>
      </c>
      <c r="I84" s="51">
        <v>30650</v>
      </c>
      <c r="J84" s="51">
        <v>35480</v>
      </c>
      <c r="L84" t="str">
        <f>VLOOKUP(B84,TABLE!D:E,2,FALSE)</f>
        <v>JPY</v>
      </c>
      <c r="M84" t="str">
        <f t="shared" si="1"/>
        <v>USD</v>
      </c>
      <c r="N84" s="51">
        <f>VLOOKUP($L84,TABLE!$I$3:$O$13,N$2,FALSE)/VLOOKUP($M84,TABLE!$I$3:$O$13,N$2,FALSE)*F84</f>
        <v>313.91542614288994</v>
      </c>
      <c r="O84" s="51">
        <f>VLOOKUP($L84,TABLE!$I$3:$O$13,O$2,FALSE)/VLOOKUP($M84,TABLE!$I$3:$O$13,O$2,FALSE)*G84</f>
        <v>373.40955467530915</v>
      </c>
      <c r="P84" s="51">
        <f>VLOOKUP($L84,TABLE!$I$3:$O$13,P$2,FALSE)/VLOOKUP($M84,TABLE!$I$3:$O$13,P$2,FALSE)*H84</f>
        <v>386.46134982407506</v>
      </c>
      <c r="Q84" s="51">
        <f>VLOOKUP($L84,TABLE!$I$3:$O$13,Q$2,FALSE)/VLOOKUP($M84,TABLE!$I$3:$O$13,Q$2,FALSE)*I84</f>
        <v>355.77098115977498</v>
      </c>
      <c r="R84" s="51">
        <f>VLOOKUP($L84,TABLE!$I$3:$O$13,R$2,FALSE)/VLOOKUP($M84,TABLE!$I$3:$O$13,R$2,FALSE)*J84</f>
        <v>338.20046102621018</v>
      </c>
    </row>
    <row r="85" spans="2:18">
      <c r="B85" t="s">
        <v>16</v>
      </c>
      <c r="C85" t="s">
        <v>124</v>
      </c>
      <c r="D85" t="s">
        <v>21</v>
      </c>
      <c r="E85" t="s">
        <v>291</v>
      </c>
      <c r="F85" s="51">
        <v>10590</v>
      </c>
      <c r="G85" s="51">
        <v>10690</v>
      </c>
      <c r="H85" s="51">
        <v>10790</v>
      </c>
      <c r="I85" s="51">
        <v>11780</v>
      </c>
      <c r="J85" s="51">
        <v>12910</v>
      </c>
      <c r="L85" t="str">
        <f>VLOOKUP(B85,TABLE!D:E,2,FALSE)</f>
        <v>JPY</v>
      </c>
      <c r="M85" t="str">
        <f t="shared" si="1"/>
        <v>USD</v>
      </c>
      <c r="N85" s="51">
        <f>VLOOKUP($L85,TABLE!$I$3:$O$13,N$2,FALSE)/VLOOKUP($M85,TABLE!$I$3:$O$13,N$2,FALSE)*F85</f>
        <v>114.39657133011715</v>
      </c>
      <c r="O85" s="51">
        <f>VLOOKUP($L85,TABLE!$I$3:$O$13,O$2,FALSE)/VLOOKUP($M85,TABLE!$I$3:$O$13,O$2,FALSE)*G85</f>
        <v>131.52382667146802</v>
      </c>
      <c r="P85" s="51">
        <f>VLOOKUP($L85,TABLE!$I$3:$O$13,P$2,FALSE)/VLOOKUP($M85,TABLE!$I$3:$O$13,P$2,FALSE)*H85</f>
        <v>139.8362831858407</v>
      </c>
      <c r="Q85" s="51">
        <f>VLOOKUP($L85,TABLE!$I$3:$O$13,Q$2,FALSE)/VLOOKUP($M85,TABLE!$I$3:$O$13,Q$2,FALSE)*I85</f>
        <v>136.73677514069001</v>
      </c>
      <c r="R85" s="51">
        <f>VLOOKUP($L85,TABLE!$I$3:$O$13,R$2,FALSE)/VLOOKUP($M85,TABLE!$I$3:$O$13,R$2,FALSE)*J85</f>
        <v>123.05997609493724</v>
      </c>
    </row>
    <row r="86" spans="2:18">
      <c r="B86" t="s">
        <v>16</v>
      </c>
      <c r="C86" t="s">
        <v>124</v>
      </c>
      <c r="D86" t="s">
        <v>20</v>
      </c>
      <c r="E86" t="s">
        <v>292</v>
      </c>
      <c r="F86" s="51">
        <v>1300</v>
      </c>
      <c r="G86" s="51">
        <v>1960</v>
      </c>
      <c r="H86" s="51">
        <v>1500</v>
      </c>
      <c r="I86" s="51">
        <v>2240</v>
      </c>
      <c r="J86" s="51">
        <v>2110</v>
      </c>
      <c r="L86" t="str">
        <f>VLOOKUP(B86,TABLE!D:E,2,FALSE)</f>
        <v>JPY</v>
      </c>
      <c r="M86" t="str">
        <f t="shared" si="1"/>
        <v>USD</v>
      </c>
      <c r="N86" s="51">
        <f>VLOOKUP($L86,TABLE!$I$3:$O$13,N$2,FALSE)/VLOOKUP($M86,TABLE!$I$3:$O$13,N$2,FALSE)*F86</f>
        <v>14.043016310590398</v>
      </c>
      <c r="O86" s="51">
        <f>VLOOKUP($L86,TABLE!$I$3:$O$13,O$2,FALSE)/VLOOKUP($M86,TABLE!$I$3:$O$13,O$2,FALSE)*G86</f>
        <v>24.114752130596571</v>
      </c>
      <c r="P86" s="51">
        <f>VLOOKUP($L86,TABLE!$I$3:$O$13,P$2,FALSE)/VLOOKUP($M86,TABLE!$I$3:$O$13,P$2,FALSE)*H86</f>
        <v>19.439705725557094</v>
      </c>
      <c r="Q86" s="51">
        <f>VLOOKUP($L86,TABLE!$I$3:$O$13,Q$2,FALSE)/VLOOKUP($M86,TABLE!$I$3:$O$13,Q$2,FALSE)*I86</f>
        <v>26.000880841693178</v>
      </c>
      <c r="R86" s="51">
        <f>VLOOKUP($L86,TABLE!$I$3:$O$13,R$2,FALSE)/VLOOKUP($M86,TABLE!$I$3:$O$13,R$2,FALSE)*J86</f>
        <v>20.112823358661316</v>
      </c>
    </row>
    <row r="87" spans="2:18">
      <c r="B87" t="s">
        <v>16</v>
      </c>
      <c r="C87" t="s">
        <v>124</v>
      </c>
      <c r="D87" t="s">
        <v>25</v>
      </c>
      <c r="E87" t="s">
        <v>293</v>
      </c>
      <c r="F87" s="51">
        <v>10600</v>
      </c>
      <c r="G87" s="51">
        <v>10930</v>
      </c>
      <c r="H87" s="51">
        <v>10920</v>
      </c>
      <c r="I87" s="51">
        <v>11070</v>
      </c>
      <c r="J87" s="51">
        <v>12770</v>
      </c>
      <c r="L87" t="str">
        <f>VLOOKUP(B87,TABLE!D:E,2,FALSE)</f>
        <v>JPY</v>
      </c>
      <c r="M87" t="str">
        <f t="shared" si="1"/>
        <v>USD</v>
      </c>
      <c r="N87" s="51">
        <f>VLOOKUP($L87,TABLE!$I$3:$O$13,N$2,FALSE)/VLOOKUP($M87,TABLE!$I$3:$O$13,N$2,FALSE)*F87</f>
        <v>114.50459453250632</v>
      </c>
      <c r="O87" s="51">
        <f>VLOOKUP($L87,TABLE!$I$3:$O$13,O$2,FALSE)/VLOOKUP($M87,TABLE!$I$3:$O$13,O$2,FALSE)*G87</f>
        <v>134.47665346296964</v>
      </c>
      <c r="P87" s="51">
        <f>VLOOKUP($L87,TABLE!$I$3:$O$13,P$2,FALSE)/VLOOKUP($M87,TABLE!$I$3:$O$13,P$2,FALSE)*H87</f>
        <v>141.52105768205564</v>
      </c>
      <c r="Q87" s="51">
        <f>VLOOKUP($L87,TABLE!$I$3:$O$13,Q$2,FALSE)/VLOOKUP($M87,TABLE!$I$3:$O$13,Q$2,FALSE)*I87</f>
        <v>128.49542451676049</v>
      </c>
      <c r="R87" s="51">
        <f>VLOOKUP($L87,TABLE!$I$3:$O$13,R$2,FALSE)/VLOOKUP($M87,TABLE!$I$3:$O$13,R$2,FALSE)*J87</f>
        <v>121.7254759668744</v>
      </c>
    </row>
    <row r="88" spans="2:18">
      <c r="B88" t="s">
        <v>16</v>
      </c>
      <c r="C88" t="s">
        <v>124</v>
      </c>
      <c r="D88" t="s">
        <v>30</v>
      </c>
      <c r="E88" t="s">
        <v>294</v>
      </c>
      <c r="F88" s="51">
        <v>20530</v>
      </c>
      <c r="G88" s="51">
        <v>18950</v>
      </c>
      <c r="H88" s="51">
        <v>18990</v>
      </c>
      <c r="I88" s="51">
        <v>18580</v>
      </c>
      <c r="J88" s="51">
        <v>22060</v>
      </c>
      <c r="L88" t="str">
        <f>VLOOKUP(B88,TABLE!D:E,2,FALSE)</f>
        <v>JPY</v>
      </c>
      <c r="M88" t="str">
        <f t="shared" si="1"/>
        <v>USD</v>
      </c>
      <c r="N88" s="51">
        <f>VLOOKUP($L88,TABLE!$I$3:$O$13,N$2,FALSE)/VLOOKUP($M88,TABLE!$I$3:$O$13,N$2,FALSE)*F88</f>
        <v>221.77163450493913</v>
      </c>
      <c r="O88" s="51">
        <f>VLOOKUP($L88,TABLE!$I$3:$O$13,O$2,FALSE)/VLOOKUP($M88,TABLE!$I$3:$O$13,O$2,FALSE)*G88</f>
        <v>233.15028207898214</v>
      </c>
      <c r="P88" s="51">
        <f>VLOOKUP($L88,TABLE!$I$3:$O$13,P$2,FALSE)/VLOOKUP($M88,TABLE!$I$3:$O$13,P$2,FALSE)*H88</f>
        <v>246.10667448555282</v>
      </c>
      <c r="Q88" s="51">
        <f>VLOOKUP($L88,TABLE!$I$3:$O$13,Q$2,FALSE)/VLOOKUP($M88,TABLE!$I$3:$O$13,Q$2,FALSE)*I88</f>
        <v>215.66802055297288</v>
      </c>
      <c r="R88" s="51">
        <f>VLOOKUP($L88,TABLE!$I$3:$O$13,R$2,FALSE)/VLOOKUP($M88,TABLE!$I$3:$O$13,R$2,FALSE)*J88</f>
        <v>210.27909160761544</v>
      </c>
    </row>
    <row r="89" spans="2:18">
      <c r="B89" t="s">
        <v>16</v>
      </c>
      <c r="C89" t="s">
        <v>124</v>
      </c>
      <c r="D89" t="s">
        <v>34</v>
      </c>
      <c r="E89" t="s">
        <v>295</v>
      </c>
      <c r="F89" s="51">
        <v>1770</v>
      </c>
      <c r="G89" s="51">
        <v>2530</v>
      </c>
      <c r="H89" s="51">
        <v>2140</v>
      </c>
      <c r="I89" s="51">
        <v>2180</v>
      </c>
      <c r="J89" s="51">
        <v>3540</v>
      </c>
      <c r="L89" t="str">
        <f>VLOOKUP(B89,TABLE!D:E,2,FALSE)</f>
        <v>JPY</v>
      </c>
      <c r="M89" t="str">
        <f t="shared" si="1"/>
        <v>USD</v>
      </c>
      <c r="N89" s="51">
        <f>VLOOKUP($L89,TABLE!$I$3:$O$13,N$2,FALSE)/VLOOKUP($M89,TABLE!$I$3:$O$13,N$2,FALSE)*F89</f>
        <v>19.120106822880771</v>
      </c>
      <c r="O89" s="51">
        <f>VLOOKUP($L89,TABLE!$I$3:$O$13,O$2,FALSE)/VLOOKUP($M89,TABLE!$I$3:$O$13,O$2,FALSE)*G89</f>
        <v>31.127715760412919</v>
      </c>
      <c r="P89" s="51">
        <f>VLOOKUP($L89,TABLE!$I$3:$O$13,P$2,FALSE)/VLOOKUP($M89,TABLE!$I$3:$O$13,P$2,FALSE)*H89</f>
        <v>27.733980168461454</v>
      </c>
      <c r="Q89" s="51">
        <f>VLOOKUP($L89,TABLE!$I$3:$O$13,Q$2,FALSE)/VLOOKUP($M89,TABLE!$I$3:$O$13,Q$2,FALSE)*I89</f>
        <v>25.304428676290684</v>
      </c>
      <c r="R89" s="51">
        <f>VLOOKUP($L89,TABLE!$I$3:$O$13,R$2,FALSE)/VLOOKUP($M89,TABLE!$I$3:$O$13,R$2,FALSE)*J89</f>
        <v>33.743788952445996</v>
      </c>
    </row>
    <row r="90" spans="2:18">
      <c r="B90" t="s">
        <v>16</v>
      </c>
      <c r="C90" t="s">
        <v>124</v>
      </c>
      <c r="D90" t="s">
        <v>48</v>
      </c>
      <c r="E90" t="s">
        <v>296</v>
      </c>
      <c r="F90" s="51">
        <v>-436.94</v>
      </c>
      <c r="G90" s="51">
        <v>209.46</v>
      </c>
      <c r="H90" s="51">
        <v>408.18</v>
      </c>
      <c r="I90" s="51">
        <v>283.56</v>
      </c>
      <c r="J90" s="51">
        <v>962.16</v>
      </c>
      <c r="L90" t="str">
        <f>VLOOKUP(B90,TABLE!D:E,2,FALSE)</f>
        <v>JPY</v>
      </c>
      <c r="M90" t="str">
        <f t="shared" si="1"/>
        <v>USD</v>
      </c>
      <c r="N90" s="51">
        <f>VLOOKUP($L90,TABLE!$I$3:$O$13,N$2,FALSE)/VLOOKUP($M90,TABLE!$I$3:$O$13,N$2,FALSE)*F90</f>
        <v>-4.7199658051918219</v>
      </c>
      <c r="O90" s="51">
        <f>VLOOKUP($L90,TABLE!$I$3:$O$13,O$2,FALSE)/VLOOKUP($M90,TABLE!$I$3:$O$13,O$2,FALSE)*G90</f>
        <v>2.5770795822830395</v>
      </c>
      <c r="P90" s="51">
        <f>VLOOKUP($L90,TABLE!$I$3:$O$13,P$2,FALSE)/VLOOKUP($M90,TABLE!$I$3:$O$13,P$2,FALSE)*H90</f>
        <v>5.2899327220385963</v>
      </c>
      <c r="Q90" s="51">
        <f>VLOOKUP($L90,TABLE!$I$3:$O$13,Q$2,FALSE)/VLOOKUP($M90,TABLE!$I$3:$O$13,Q$2,FALSE)*I90</f>
        <v>3.2914329336921955</v>
      </c>
      <c r="R90" s="51">
        <f>VLOOKUP($L90,TABLE!$I$3:$O$13,R$2,FALSE)/VLOOKUP($M90,TABLE!$I$3:$O$13,R$2,FALSE)*J90</f>
        <v>9.1714474515495592</v>
      </c>
    </row>
    <row r="91" spans="2:18">
      <c r="B91" t="s">
        <v>16</v>
      </c>
      <c r="C91" t="s">
        <v>124</v>
      </c>
      <c r="D91" t="s">
        <v>50</v>
      </c>
      <c r="E91" t="s">
        <v>297</v>
      </c>
      <c r="F91" s="51">
        <v>730.7</v>
      </c>
      <c r="G91" s="51">
        <v>1830</v>
      </c>
      <c r="H91" s="51">
        <v>1410</v>
      </c>
      <c r="I91" s="51">
        <v>1410</v>
      </c>
      <c r="J91" s="51">
        <v>2540</v>
      </c>
      <c r="L91" t="str">
        <f>VLOOKUP(B91,TABLE!D:E,2,FALSE)</f>
        <v>JPY</v>
      </c>
      <c r="M91" t="str">
        <f t="shared" si="1"/>
        <v>USD</v>
      </c>
      <c r="N91" s="51">
        <f>VLOOKUP($L91,TABLE!$I$3:$O$13,N$2,FALSE)/VLOOKUP($M91,TABLE!$I$3:$O$13,N$2,FALSE)*F91</f>
        <v>7.893255398575695</v>
      </c>
      <c r="O91" s="51">
        <f>VLOOKUP($L91,TABLE!$I$3:$O$13,O$2,FALSE)/VLOOKUP($M91,TABLE!$I$3:$O$13,O$2,FALSE)*G91</f>
        <v>22.515304285199861</v>
      </c>
      <c r="P91" s="51">
        <f>VLOOKUP($L91,TABLE!$I$3:$O$13,P$2,FALSE)/VLOOKUP($M91,TABLE!$I$3:$O$13,P$2,FALSE)*H91</f>
        <v>18.273323382023669</v>
      </c>
      <c r="Q91" s="51">
        <f>VLOOKUP($L91,TABLE!$I$3:$O$13,Q$2,FALSE)/VLOOKUP($M91,TABLE!$I$3:$O$13,Q$2,FALSE)*I91</f>
        <v>16.366625886958651</v>
      </c>
      <c r="R91" s="51">
        <f>VLOOKUP($L91,TABLE!$I$3:$O$13,R$2,FALSE)/VLOOKUP($M91,TABLE!$I$3:$O$13,R$2,FALSE)*J91</f>
        <v>24.211645180568595</v>
      </c>
    </row>
    <row r="92" spans="2:18">
      <c r="B92" t="s">
        <v>16</v>
      </c>
      <c r="C92" t="s">
        <v>124</v>
      </c>
      <c r="D92" t="s">
        <v>44</v>
      </c>
      <c r="E92" t="s">
        <v>298</v>
      </c>
      <c r="F92" s="51">
        <v>46.88</v>
      </c>
      <c r="G92" s="51">
        <v>33.409999999999997</v>
      </c>
      <c r="H92" s="51">
        <v>29.32</v>
      </c>
      <c r="I92" s="51">
        <v>22.92</v>
      </c>
      <c r="J92" s="51">
        <v>22.97</v>
      </c>
      <c r="L92" t="str">
        <f>VLOOKUP(B92,TABLE!D:E,2,FALSE)</f>
        <v>JPY</v>
      </c>
      <c r="M92" t="str">
        <f t="shared" si="1"/>
        <v>USD</v>
      </c>
      <c r="N92" s="51">
        <f>VLOOKUP($L92,TABLE!$I$3:$O$13,N$2,FALSE)/VLOOKUP($M92,TABLE!$I$3:$O$13,N$2,FALSE)*F92</f>
        <v>0.50641277280036756</v>
      </c>
      <c r="O92" s="51">
        <f>VLOOKUP($L92,TABLE!$I$3:$O$13,O$2,FALSE)/VLOOKUP($M92,TABLE!$I$3:$O$13,O$2,FALSE)*G92</f>
        <v>0.41105809626695478</v>
      </c>
      <c r="P92" s="51">
        <f>VLOOKUP($L92,TABLE!$I$3:$O$13,P$2,FALSE)/VLOOKUP($M92,TABLE!$I$3:$O$13,P$2,FALSE)*H92</f>
        <v>0.37998144791555599</v>
      </c>
      <c r="Q92" s="51">
        <f>VLOOKUP($L92,TABLE!$I$3:$O$13,Q$2,FALSE)/VLOOKUP($M92,TABLE!$I$3:$O$13,Q$2,FALSE)*I92</f>
        <v>0.26604472718375344</v>
      </c>
      <c r="R92" s="51">
        <f>VLOOKUP($L92,TABLE!$I$3:$O$13,R$2,FALSE)/VLOOKUP($M92,TABLE!$I$3:$O$13,R$2,FALSE)*J92</f>
        <v>0.21895334244002387</v>
      </c>
    </row>
    <row r="93" spans="2:18">
      <c r="B93" t="s">
        <v>16</v>
      </c>
      <c r="C93" t="s">
        <v>124</v>
      </c>
      <c r="D93" t="s">
        <v>42</v>
      </c>
      <c r="E93" t="s">
        <v>299</v>
      </c>
      <c r="F93" s="51">
        <v>138.47</v>
      </c>
      <c r="G93" s="51">
        <v>78.22</v>
      </c>
      <c r="H93" s="51">
        <v>90.77</v>
      </c>
      <c r="I93" s="51">
        <v>99.87</v>
      </c>
      <c r="J93" s="51">
        <v>98.67</v>
      </c>
      <c r="L93" t="str">
        <f>VLOOKUP(B93,TABLE!D:E,2,FALSE)</f>
        <v>JPY</v>
      </c>
      <c r="M93" t="str">
        <f t="shared" si="1"/>
        <v>USD</v>
      </c>
      <c r="N93" s="51">
        <f>VLOOKUP($L93,TABLE!$I$3:$O$13,N$2,FALSE)/VLOOKUP($M93,TABLE!$I$3:$O$13,N$2,FALSE)*F93</f>
        <v>1.4957972834826556</v>
      </c>
      <c r="O93" s="51">
        <f>VLOOKUP($L93,TABLE!$I$3:$O$13,O$2,FALSE)/VLOOKUP($M93,TABLE!$I$3:$O$13,O$2,FALSE)*G93</f>
        <v>0.96237546513023653</v>
      </c>
      <c r="P93" s="51">
        <f>VLOOKUP($L93,TABLE!$I$3:$O$13,P$2,FALSE)/VLOOKUP($M93,TABLE!$I$3:$O$13,P$2,FALSE)*H93</f>
        <v>1.1763613924725449</v>
      </c>
      <c r="Q93" s="51">
        <f>VLOOKUP($L93,TABLE!$I$3:$O$13,Q$2,FALSE)/VLOOKUP($M93,TABLE!$I$3:$O$13,Q$2,FALSE)*I93</f>
        <v>1.1592446293124543</v>
      </c>
      <c r="R93" s="51">
        <f>VLOOKUP($L93,TABLE!$I$3:$O$13,R$2,FALSE)/VLOOKUP($M93,TABLE!$I$3:$O$13,R$2,FALSE)*J93</f>
        <v>0.94053662597114307</v>
      </c>
    </row>
    <row r="94" spans="2:18">
      <c r="B94" t="s">
        <v>16</v>
      </c>
      <c r="C94" t="s">
        <v>124</v>
      </c>
      <c r="D94" t="s">
        <v>145</v>
      </c>
      <c r="E94" t="s">
        <v>300</v>
      </c>
      <c r="F94" s="51"/>
      <c r="G94" s="51"/>
      <c r="H94" s="51"/>
      <c r="I94" s="51"/>
      <c r="J94" s="51"/>
      <c r="L94" t="str">
        <f>VLOOKUP(B94,TABLE!D:E,2,FALSE)</f>
        <v>JPY</v>
      </c>
      <c r="M94" t="str">
        <f t="shared" si="1"/>
        <v>USD</v>
      </c>
      <c r="N94" s="51">
        <f>VLOOKUP($L94,TABLE!$I$3:$O$13,N$2,FALSE)/VLOOKUP($M94,TABLE!$I$3:$O$13,N$2,FALSE)*F94</f>
        <v>0</v>
      </c>
      <c r="O94" s="51">
        <f>VLOOKUP($L94,TABLE!$I$3:$O$13,O$2,FALSE)/VLOOKUP($M94,TABLE!$I$3:$O$13,O$2,FALSE)*G94</f>
        <v>0</v>
      </c>
      <c r="P94" s="51">
        <f>VLOOKUP($L94,TABLE!$I$3:$O$13,P$2,FALSE)/VLOOKUP($M94,TABLE!$I$3:$O$13,P$2,FALSE)*H94</f>
        <v>0</v>
      </c>
      <c r="Q94" s="51">
        <f>VLOOKUP($L94,TABLE!$I$3:$O$13,Q$2,FALSE)/VLOOKUP($M94,TABLE!$I$3:$O$13,Q$2,FALSE)*I94</f>
        <v>0</v>
      </c>
      <c r="R94" s="51">
        <f>VLOOKUP($L94,TABLE!$I$3:$O$13,R$2,FALSE)/VLOOKUP($M94,TABLE!$I$3:$O$13,R$2,FALSE)*J94</f>
        <v>0</v>
      </c>
    </row>
    <row r="95" spans="2:18">
      <c r="B95" t="s">
        <v>16</v>
      </c>
      <c r="C95" t="s">
        <v>124</v>
      </c>
      <c r="D95" t="s">
        <v>36</v>
      </c>
      <c r="E95" t="s">
        <v>301</v>
      </c>
      <c r="F95" s="51">
        <v>2530</v>
      </c>
      <c r="G95" s="51">
        <v>2120</v>
      </c>
      <c r="H95" s="51">
        <v>1910</v>
      </c>
      <c r="I95" s="51">
        <v>1840</v>
      </c>
      <c r="J95" s="51">
        <v>2100</v>
      </c>
      <c r="L95" t="str">
        <f>VLOOKUP(B95,TABLE!D:E,2,FALSE)</f>
        <v>JPY</v>
      </c>
      <c r="M95" t="str">
        <f t="shared" si="1"/>
        <v>USD</v>
      </c>
      <c r="N95" s="51">
        <f>VLOOKUP($L95,TABLE!$I$3:$O$13,N$2,FALSE)/VLOOKUP($M95,TABLE!$I$3:$O$13,N$2,FALSE)*F95</f>
        <v>27.329870204456697</v>
      </c>
      <c r="O95" s="51">
        <f>VLOOKUP($L95,TABLE!$I$3:$O$13,O$2,FALSE)/VLOOKUP($M95,TABLE!$I$3:$O$13,O$2,FALSE)*G95</f>
        <v>26.083303324930984</v>
      </c>
      <c r="P95" s="51">
        <f>VLOOKUP($L95,TABLE!$I$3:$O$13,P$2,FALSE)/VLOOKUP($M95,TABLE!$I$3:$O$13,P$2,FALSE)*H95</f>
        <v>24.753225290542701</v>
      </c>
      <c r="Q95" s="51">
        <f>VLOOKUP($L95,TABLE!$I$3:$O$13,Q$2,FALSE)/VLOOKUP($M95,TABLE!$I$3:$O$13,Q$2,FALSE)*I95</f>
        <v>21.357866405676539</v>
      </c>
      <c r="R95" s="51">
        <f>VLOOKUP($L95,TABLE!$I$3:$O$13,R$2,FALSE)/VLOOKUP($M95,TABLE!$I$3:$O$13,R$2,FALSE)*J95</f>
        <v>20.017501920942539</v>
      </c>
    </row>
    <row r="96" spans="2:18">
      <c r="B96" t="s">
        <v>16</v>
      </c>
      <c r="C96" t="s">
        <v>124</v>
      </c>
      <c r="D96" t="s">
        <v>38</v>
      </c>
      <c r="E96" t="s">
        <v>302</v>
      </c>
      <c r="F96" s="51">
        <v>904.08</v>
      </c>
      <c r="G96" s="51">
        <v>725.35</v>
      </c>
      <c r="H96" s="51">
        <v>730.34</v>
      </c>
      <c r="I96" s="51">
        <v>779.81</v>
      </c>
      <c r="J96" s="51">
        <v>807.45</v>
      </c>
      <c r="L96" t="str">
        <f>VLOOKUP(B96,TABLE!D:E,2,FALSE)</f>
        <v>JPY</v>
      </c>
      <c r="M96" t="str">
        <f t="shared" si="1"/>
        <v>USD</v>
      </c>
      <c r="N96" s="51">
        <f>VLOOKUP($L96,TABLE!$I$3:$O$13,N$2,FALSE)/VLOOKUP($M96,TABLE!$I$3:$O$13,N$2,FALSE)*F96</f>
        <v>9.7661616815988967</v>
      </c>
      <c r="O96" s="51">
        <f>VLOOKUP($L96,TABLE!$I$3:$O$13,O$2,FALSE)/VLOOKUP($M96,TABLE!$I$3:$O$13,O$2,FALSE)*G96</f>
        <v>8.9243038050654189</v>
      </c>
      <c r="P96" s="51">
        <f>VLOOKUP($L96,TABLE!$I$3:$O$13,P$2,FALSE)/VLOOKUP($M96,TABLE!$I$3:$O$13,P$2,FALSE)*H96</f>
        <v>9.4650631197355786</v>
      </c>
      <c r="Q96" s="51">
        <f>VLOOKUP($L96,TABLE!$I$3:$O$13,Q$2,FALSE)/VLOOKUP($M96,TABLE!$I$3:$O$13,Q$2,FALSE)*I96</f>
        <v>9.0516727183753378</v>
      </c>
      <c r="R96" s="51">
        <f>VLOOKUP($L96,TABLE!$I$3:$O$13,R$2,FALSE)/VLOOKUP($M96,TABLE!$I$3:$O$13,R$2,FALSE)*J96</f>
        <v>7.6967294886024078</v>
      </c>
    </row>
    <row r="97" spans="2:18">
      <c r="B97" t="s">
        <v>16</v>
      </c>
      <c r="C97" t="s">
        <v>124</v>
      </c>
      <c r="D97" t="s">
        <v>40</v>
      </c>
      <c r="E97" t="s">
        <v>303</v>
      </c>
      <c r="F97" s="51">
        <v>1630</v>
      </c>
      <c r="G97" s="51">
        <v>1390</v>
      </c>
      <c r="H97" s="51">
        <v>1180</v>
      </c>
      <c r="I97" s="51">
        <v>1060</v>
      </c>
      <c r="J97" s="51">
        <v>1290</v>
      </c>
      <c r="L97" t="str">
        <f>VLOOKUP(B97,TABLE!D:E,2,FALSE)</f>
        <v>JPY</v>
      </c>
      <c r="M97" t="str">
        <f t="shared" si="1"/>
        <v>USD</v>
      </c>
      <c r="N97" s="51">
        <f>VLOOKUP($L97,TABLE!$I$3:$O$13,N$2,FALSE)/VLOOKUP($M97,TABLE!$I$3:$O$13,N$2,FALSE)*F97</f>
        <v>17.607781989432574</v>
      </c>
      <c r="O97" s="51">
        <f>VLOOKUP($L97,TABLE!$I$3:$O$13,O$2,FALSE)/VLOOKUP($M97,TABLE!$I$3:$O$13,O$2,FALSE)*G97</f>
        <v>17.10178850078022</v>
      </c>
      <c r="P97" s="51">
        <f>VLOOKUP($L97,TABLE!$I$3:$O$13,P$2,FALSE)/VLOOKUP($M97,TABLE!$I$3:$O$13,P$2,FALSE)*H97</f>
        <v>15.292568504104914</v>
      </c>
      <c r="Q97" s="51">
        <f>VLOOKUP($L97,TABLE!$I$3:$O$13,Q$2,FALSE)/VLOOKUP($M97,TABLE!$I$3:$O$13,Q$2,FALSE)*I97</f>
        <v>12.303988255444093</v>
      </c>
      <c r="R97" s="51">
        <f>VLOOKUP($L97,TABLE!$I$3:$O$13,R$2,FALSE)/VLOOKUP($M97,TABLE!$I$3:$O$13,R$2,FALSE)*J97</f>
        <v>12.296465465721846</v>
      </c>
    </row>
    <row r="98" spans="2:18">
      <c r="B98" t="s">
        <v>16</v>
      </c>
      <c r="C98" t="s">
        <v>124</v>
      </c>
      <c r="D98" t="s">
        <v>46</v>
      </c>
      <c r="E98" t="s">
        <v>304</v>
      </c>
      <c r="F98" s="51">
        <v>-560.38</v>
      </c>
      <c r="G98" s="51">
        <v>291.47000000000003</v>
      </c>
      <c r="H98" s="51">
        <v>563.29</v>
      </c>
      <c r="I98" s="51">
        <v>432.87</v>
      </c>
      <c r="J98" s="51">
        <v>1400</v>
      </c>
      <c r="L98" t="str">
        <f>VLOOKUP(B98,TABLE!D:E,2,FALSE)</f>
        <v>JPY</v>
      </c>
      <c r="M98" t="str">
        <f t="shared" si="1"/>
        <v>USD</v>
      </c>
      <c r="N98" s="51">
        <f>VLOOKUP($L98,TABLE!$I$3:$O$13,N$2,FALSE)/VLOOKUP($M98,TABLE!$I$3:$O$13,N$2,FALSE)*F98</f>
        <v>-6.0534042154835745</v>
      </c>
      <c r="O98" s="51">
        <f>VLOOKUP($L98,TABLE!$I$3:$O$13,O$2,FALSE)/VLOOKUP($M98,TABLE!$I$3:$O$13,O$2,FALSE)*G98</f>
        <v>3.5860851038290731</v>
      </c>
      <c r="P98" s="51">
        <f>VLOOKUP($L98,TABLE!$I$3:$O$13,P$2,FALSE)/VLOOKUP($M98,TABLE!$I$3:$O$13,P$2,FALSE)*H98</f>
        <v>7.3001278920993702</v>
      </c>
      <c r="Q98" s="51">
        <f>VLOOKUP($L98,TABLE!$I$3:$O$13,Q$2,FALSE)/VLOOKUP($M98,TABLE!$I$3:$O$13,Q$2,FALSE)*I98</f>
        <v>5.024554147296306</v>
      </c>
      <c r="R98" s="51">
        <f>VLOOKUP($L98,TABLE!$I$3:$O$13,R$2,FALSE)/VLOOKUP($M98,TABLE!$I$3:$O$13,R$2,FALSE)*J98</f>
        <v>13.345001280628361</v>
      </c>
    </row>
    <row r="99" spans="2:18">
      <c r="B99" t="s">
        <v>2</v>
      </c>
      <c r="C99" t="s">
        <v>124</v>
      </c>
      <c r="D99" t="s">
        <v>9</v>
      </c>
      <c r="E99" t="s">
        <v>305</v>
      </c>
      <c r="F99" s="51">
        <v>3.51</v>
      </c>
      <c r="G99" s="51">
        <v>6.29</v>
      </c>
      <c r="H99" s="51">
        <v>7.11</v>
      </c>
      <c r="I99" s="51">
        <v>7.13</v>
      </c>
      <c r="J99" s="51">
        <v>6.74</v>
      </c>
      <c r="L99" t="str">
        <f>VLOOKUP(B99,TABLE!D:E,2,FALSE)</f>
        <v>USD</v>
      </c>
      <c r="M99" t="str">
        <f t="shared" si="1"/>
        <v>USD</v>
      </c>
      <c r="N99" s="51">
        <f>VLOOKUP($L99,TABLE!$I$3:$O$13,N$2,FALSE)/VLOOKUP($M99,TABLE!$I$3:$O$13,N$2,FALSE)*F99</f>
        <v>3.51</v>
      </c>
      <c r="O99" s="51">
        <f>VLOOKUP($L99,TABLE!$I$3:$O$13,O$2,FALSE)/VLOOKUP($M99,TABLE!$I$3:$O$13,O$2,FALSE)*G99</f>
        <v>6.29</v>
      </c>
      <c r="P99" s="51">
        <f>VLOOKUP($L99,TABLE!$I$3:$O$13,P$2,FALSE)/VLOOKUP($M99,TABLE!$I$3:$O$13,P$2,FALSE)*H99</f>
        <v>7.11</v>
      </c>
      <c r="Q99" s="51">
        <f>VLOOKUP($L99,TABLE!$I$3:$O$13,Q$2,FALSE)/VLOOKUP($M99,TABLE!$I$3:$O$13,Q$2,FALSE)*I99</f>
        <v>7.13</v>
      </c>
      <c r="R99" s="51">
        <f>VLOOKUP($L99,TABLE!$I$3:$O$13,R$2,FALSE)/VLOOKUP($M99,TABLE!$I$3:$O$13,R$2,FALSE)*J99</f>
        <v>6.74</v>
      </c>
    </row>
    <row r="100" spans="2:18">
      <c r="B100" t="s">
        <v>2</v>
      </c>
      <c r="C100" t="s">
        <v>124</v>
      </c>
      <c r="D100" t="s">
        <v>11</v>
      </c>
      <c r="E100" t="s">
        <v>306</v>
      </c>
      <c r="F100" s="51">
        <v>0</v>
      </c>
      <c r="G100" s="51">
        <v>0</v>
      </c>
      <c r="H100" s="51">
        <v>8.81</v>
      </c>
      <c r="I100" s="51">
        <v>9.51</v>
      </c>
      <c r="J100" s="51">
        <v>23.33</v>
      </c>
      <c r="L100" t="str">
        <f>VLOOKUP(B100,TABLE!D:E,2,FALSE)</f>
        <v>USD</v>
      </c>
      <c r="M100" t="str">
        <f t="shared" si="1"/>
        <v>USD</v>
      </c>
      <c r="N100" s="51">
        <f>VLOOKUP($L100,TABLE!$I$3:$O$13,N$2,FALSE)/VLOOKUP($M100,TABLE!$I$3:$O$13,N$2,FALSE)*F100</f>
        <v>0</v>
      </c>
      <c r="O100" s="51">
        <f>VLOOKUP($L100,TABLE!$I$3:$O$13,O$2,FALSE)/VLOOKUP($M100,TABLE!$I$3:$O$13,O$2,FALSE)*G100</f>
        <v>0</v>
      </c>
      <c r="P100" s="51">
        <f>VLOOKUP($L100,TABLE!$I$3:$O$13,P$2,FALSE)/VLOOKUP($M100,TABLE!$I$3:$O$13,P$2,FALSE)*H100</f>
        <v>8.81</v>
      </c>
      <c r="Q100" s="51">
        <f>VLOOKUP($L100,TABLE!$I$3:$O$13,Q$2,FALSE)/VLOOKUP($M100,TABLE!$I$3:$O$13,Q$2,FALSE)*I100</f>
        <v>9.51</v>
      </c>
      <c r="R100" s="51">
        <f>VLOOKUP($L100,TABLE!$I$3:$O$13,R$2,FALSE)/VLOOKUP($M100,TABLE!$I$3:$O$13,R$2,FALSE)*J100</f>
        <v>23.33</v>
      </c>
    </row>
    <row r="101" spans="2:18">
      <c r="B101" t="s">
        <v>2</v>
      </c>
      <c r="C101" t="s">
        <v>124</v>
      </c>
      <c r="D101" t="s">
        <v>13</v>
      </c>
      <c r="E101" t="s">
        <v>307</v>
      </c>
      <c r="F101" s="51">
        <v>3.3</v>
      </c>
      <c r="G101" s="51">
        <v>2.94</v>
      </c>
      <c r="H101" s="51">
        <v>3.66</v>
      </c>
      <c r="I101" s="51">
        <v>3.73</v>
      </c>
      <c r="J101" s="51">
        <v>7.53</v>
      </c>
      <c r="L101" t="str">
        <f>VLOOKUP(B101,TABLE!D:E,2,FALSE)</f>
        <v>USD</v>
      </c>
      <c r="M101" t="str">
        <f t="shared" si="1"/>
        <v>USD</v>
      </c>
      <c r="N101" s="51">
        <f>VLOOKUP($L101,TABLE!$I$3:$O$13,N$2,FALSE)/VLOOKUP($M101,TABLE!$I$3:$O$13,N$2,FALSE)*F101</f>
        <v>3.3</v>
      </c>
      <c r="O101" s="51">
        <f>VLOOKUP($L101,TABLE!$I$3:$O$13,O$2,FALSE)/VLOOKUP($M101,TABLE!$I$3:$O$13,O$2,FALSE)*G101</f>
        <v>2.94</v>
      </c>
      <c r="P101" s="51">
        <f>VLOOKUP($L101,TABLE!$I$3:$O$13,P$2,FALSE)/VLOOKUP($M101,TABLE!$I$3:$O$13,P$2,FALSE)*H101</f>
        <v>3.66</v>
      </c>
      <c r="Q101" s="51">
        <f>VLOOKUP($L101,TABLE!$I$3:$O$13,Q$2,FALSE)/VLOOKUP($M101,TABLE!$I$3:$O$13,Q$2,FALSE)*I101</f>
        <v>3.73</v>
      </c>
      <c r="R101" s="51">
        <f>VLOOKUP($L101,TABLE!$I$3:$O$13,R$2,FALSE)/VLOOKUP($M101,TABLE!$I$3:$O$13,R$2,FALSE)*J101</f>
        <v>7.53</v>
      </c>
    </row>
    <row r="102" spans="2:18">
      <c r="B102" t="s">
        <v>2</v>
      </c>
      <c r="C102" t="s">
        <v>124</v>
      </c>
      <c r="D102" t="s">
        <v>15</v>
      </c>
      <c r="E102" t="s">
        <v>308</v>
      </c>
      <c r="F102" s="51">
        <v>13.11</v>
      </c>
      <c r="G102" s="51">
        <v>19.309999999999999</v>
      </c>
      <c r="H102" s="51">
        <v>21.24</v>
      </c>
      <c r="I102" s="51">
        <v>21.59</v>
      </c>
      <c r="J102" s="51">
        <v>39.85</v>
      </c>
      <c r="L102" t="str">
        <f>VLOOKUP(B102,TABLE!D:E,2,FALSE)</f>
        <v>USD</v>
      </c>
      <c r="M102" t="str">
        <f t="shared" si="1"/>
        <v>USD</v>
      </c>
      <c r="N102" s="51">
        <f>VLOOKUP($L102,TABLE!$I$3:$O$13,N$2,FALSE)/VLOOKUP($M102,TABLE!$I$3:$O$13,N$2,FALSE)*F102</f>
        <v>13.11</v>
      </c>
      <c r="O102" s="51">
        <f>VLOOKUP($L102,TABLE!$I$3:$O$13,O$2,FALSE)/VLOOKUP($M102,TABLE!$I$3:$O$13,O$2,FALSE)*G102</f>
        <v>19.309999999999999</v>
      </c>
      <c r="P102" s="51">
        <f>VLOOKUP($L102,TABLE!$I$3:$O$13,P$2,FALSE)/VLOOKUP($M102,TABLE!$I$3:$O$13,P$2,FALSE)*H102</f>
        <v>21.24</v>
      </c>
      <c r="Q102" s="51">
        <f>VLOOKUP($L102,TABLE!$I$3:$O$13,Q$2,FALSE)/VLOOKUP($M102,TABLE!$I$3:$O$13,Q$2,FALSE)*I102</f>
        <v>21.59</v>
      </c>
      <c r="R102" s="51">
        <f>VLOOKUP($L102,TABLE!$I$3:$O$13,R$2,FALSE)/VLOOKUP($M102,TABLE!$I$3:$O$13,R$2,FALSE)*J102</f>
        <v>39.85</v>
      </c>
    </row>
    <row r="103" spans="2:18">
      <c r="B103" t="s">
        <v>2</v>
      </c>
      <c r="C103" t="s">
        <v>124</v>
      </c>
      <c r="D103" t="s">
        <v>18</v>
      </c>
      <c r="E103" t="s">
        <v>309</v>
      </c>
      <c r="F103" s="51">
        <v>22.67</v>
      </c>
      <c r="G103" s="51">
        <v>31.05</v>
      </c>
      <c r="H103" s="51">
        <v>34.090000000000003</v>
      </c>
      <c r="I103" s="51">
        <v>35.43</v>
      </c>
      <c r="J103" s="51">
        <v>56.41</v>
      </c>
      <c r="L103" t="str">
        <f>VLOOKUP(B103,TABLE!D:E,2,FALSE)</f>
        <v>USD</v>
      </c>
      <c r="M103" t="str">
        <f t="shared" si="1"/>
        <v>USD</v>
      </c>
      <c r="N103" s="51">
        <f>VLOOKUP($L103,TABLE!$I$3:$O$13,N$2,FALSE)/VLOOKUP($M103,TABLE!$I$3:$O$13,N$2,FALSE)*F103</f>
        <v>22.67</v>
      </c>
      <c r="O103" s="51">
        <f>VLOOKUP($L103,TABLE!$I$3:$O$13,O$2,FALSE)/VLOOKUP($M103,TABLE!$I$3:$O$13,O$2,FALSE)*G103</f>
        <v>31.05</v>
      </c>
      <c r="P103" s="51">
        <f>VLOOKUP($L103,TABLE!$I$3:$O$13,P$2,FALSE)/VLOOKUP($M103,TABLE!$I$3:$O$13,P$2,FALSE)*H103</f>
        <v>34.090000000000003</v>
      </c>
      <c r="Q103" s="51">
        <f>VLOOKUP($L103,TABLE!$I$3:$O$13,Q$2,FALSE)/VLOOKUP($M103,TABLE!$I$3:$O$13,Q$2,FALSE)*I103</f>
        <v>35.43</v>
      </c>
      <c r="R103" s="51">
        <f>VLOOKUP($L103,TABLE!$I$3:$O$13,R$2,FALSE)/VLOOKUP($M103,TABLE!$I$3:$O$13,R$2,FALSE)*J103</f>
        <v>56.41</v>
      </c>
    </row>
    <row r="104" spans="2:18">
      <c r="B104" t="s">
        <v>2</v>
      </c>
      <c r="C104" t="s">
        <v>124</v>
      </c>
      <c r="D104" t="s">
        <v>21</v>
      </c>
      <c r="E104" t="s">
        <v>310</v>
      </c>
      <c r="F104" s="51">
        <v>8.9499999999999993</v>
      </c>
      <c r="G104" s="51">
        <v>13.47</v>
      </c>
      <c r="H104" s="51">
        <v>15.36</v>
      </c>
      <c r="I104" s="51">
        <v>14.48</v>
      </c>
      <c r="J104" s="51">
        <v>22.6</v>
      </c>
      <c r="L104" t="str">
        <f>VLOOKUP(B104,TABLE!D:E,2,FALSE)</f>
        <v>USD</v>
      </c>
      <c r="M104" t="str">
        <f t="shared" si="1"/>
        <v>USD</v>
      </c>
      <c r="N104" s="51">
        <f>VLOOKUP($L104,TABLE!$I$3:$O$13,N$2,FALSE)/VLOOKUP($M104,TABLE!$I$3:$O$13,N$2,FALSE)*F104</f>
        <v>8.9499999999999993</v>
      </c>
      <c r="O104" s="51">
        <f>VLOOKUP($L104,TABLE!$I$3:$O$13,O$2,FALSE)/VLOOKUP($M104,TABLE!$I$3:$O$13,O$2,FALSE)*G104</f>
        <v>13.47</v>
      </c>
      <c r="P104" s="51">
        <f>VLOOKUP($L104,TABLE!$I$3:$O$13,P$2,FALSE)/VLOOKUP($M104,TABLE!$I$3:$O$13,P$2,FALSE)*H104</f>
        <v>15.36</v>
      </c>
      <c r="Q104" s="51">
        <f>VLOOKUP($L104,TABLE!$I$3:$O$13,Q$2,FALSE)/VLOOKUP($M104,TABLE!$I$3:$O$13,Q$2,FALSE)*I104</f>
        <v>14.48</v>
      </c>
      <c r="R104" s="51">
        <f>VLOOKUP($L104,TABLE!$I$3:$O$13,R$2,FALSE)/VLOOKUP($M104,TABLE!$I$3:$O$13,R$2,FALSE)*J104</f>
        <v>22.6</v>
      </c>
    </row>
    <row r="105" spans="2:18">
      <c r="B105" t="s">
        <v>2</v>
      </c>
      <c r="C105" t="s">
        <v>124</v>
      </c>
      <c r="D105" t="s">
        <v>20</v>
      </c>
      <c r="E105" t="s">
        <v>311</v>
      </c>
      <c r="F105" s="51">
        <v>1.92</v>
      </c>
      <c r="G105" s="51">
        <v>2.37</v>
      </c>
      <c r="H105" s="51">
        <v>2.95</v>
      </c>
      <c r="I105" s="51">
        <v>2.82</v>
      </c>
      <c r="J105" s="51">
        <v>7.36</v>
      </c>
      <c r="L105" t="str">
        <f>VLOOKUP(B105,TABLE!D:E,2,FALSE)</f>
        <v>USD</v>
      </c>
      <c r="M105" t="str">
        <f t="shared" si="1"/>
        <v>USD</v>
      </c>
      <c r="N105" s="51">
        <f>VLOOKUP($L105,TABLE!$I$3:$O$13,N$2,FALSE)/VLOOKUP($M105,TABLE!$I$3:$O$13,N$2,FALSE)*F105</f>
        <v>1.92</v>
      </c>
      <c r="O105" s="51">
        <f>VLOOKUP($L105,TABLE!$I$3:$O$13,O$2,FALSE)/VLOOKUP($M105,TABLE!$I$3:$O$13,O$2,FALSE)*G105</f>
        <v>2.37</v>
      </c>
      <c r="P105" s="51">
        <f>VLOOKUP($L105,TABLE!$I$3:$O$13,P$2,FALSE)/VLOOKUP($M105,TABLE!$I$3:$O$13,P$2,FALSE)*H105</f>
        <v>2.95</v>
      </c>
      <c r="Q105" s="51">
        <f>VLOOKUP($L105,TABLE!$I$3:$O$13,Q$2,FALSE)/VLOOKUP($M105,TABLE!$I$3:$O$13,Q$2,FALSE)*I105</f>
        <v>2.82</v>
      </c>
      <c r="R105" s="51">
        <f>VLOOKUP($L105,TABLE!$I$3:$O$13,R$2,FALSE)/VLOOKUP($M105,TABLE!$I$3:$O$13,R$2,FALSE)*J105</f>
        <v>7.36</v>
      </c>
    </row>
    <row r="106" spans="2:18">
      <c r="B106" t="s">
        <v>2</v>
      </c>
      <c r="C106" t="s">
        <v>124</v>
      </c>
      <c r="D106" t="s">
        <v>25</v>
      </c>
      <c r="E106" t="s">
        <v>312</v>
      </c>
      <c r="F106" s="51">
        <v>6.81</v>
      </c>
      <c r="G106" s="51">
        <v>7.38</v>
      </c>
      <c r="H106" s="51">
        <v>7.92</v>
      </c>
      <c r="I106" s="51">
        <v>8.64</v>
      </c>
      <c r="J106" s="51">
        <v>7.66</v>
      </c>
      <c r="L106" t="str">
        <f>VLOOKUP(B106,TABLE!D:E,2,FALSE)</f>
        <v>USD</v>
      </c>
      <c r="M106" t="str">
        <f t="shared" si="1"/>
        <v>USD</v>
      </c>
      <c r="N106" s="51">
        <f>VLOOKUP($L106,TABLE!$I$3:$O$13,N$2,FALSE)/VLOOKUP($M106,TABLE!$I$3:$O$13,N$2,FALSE)*F106</f>
        <v>6.81</v>
      </c>
      <c r="O106" s="51">
        <f>VLOOKUP($L106,TABLE!$I$3:$O$13,O$2,FALSE)/VLOOKUP($M106,TABLE!$I$3:$O$13,O$2,FALSE)*G106</f>
        <v>7.38</v>
      </c>
      <c r="P106" s="51">
        <f>VLOOKUP($L106,TABLE!$I$3:$O$13,P$2,FALSE)/VLOOKUP($M106,TABLE!$I$3:$O$13,P$2,FALSE)*H106</f>
        <v>7.92</v>
      </c>
      <c r="Q106" s="51">
        <f>VLOOKUP($L106,TABLE!$I$3:$O$13,Q$2,FALSE)/VLOOKUP($M106,TABLE!$I$3:$O$13,Q$2,FALSE)*I106</f>
        <v>8.64</v>
      </c>
      <c r="R106" s="51">
        <f>VLOOKUP($L106,TABLE!$I$3:$O$13,R$2,FALSE)/VLOOKUP($M106,TABLE!$I$3:$O$13,R$2,FALSE)*J106</f>
        <v>7.66</v>
      </c>
    </row>
    <row r="107" spans="2:18">
      <c r="B107" t="s">
        <v>2</v>
      </c>
      <c r="C107" t="s">
        <v>124</v>
      </c>
      <c r="D107" t="s">
        <v>30</v>
      </c>
      <c r="E107" t="s">
        <v>313</v>
      </c>
      <c r="F107" s="51">
        <v>13.76</v>
      </c>
      <c r="G107" s="51">
        <v>15.61</v>
      </c>
      <c r="H107" s="51">
        <v>19.190000000000001</v>
      </c>
      <c r="I107" s="51">
        <v>20.46</v>
      </c>
      <c r="J107" s="51">
        <v>34.22</v>
      </c>
      <c r="L107" t="str">
        <f>VLOOKUP(B107,TABLE!D:E,2,FALSE)</f>
        <v>USD</v>
      </c>
      <c r="M107" t="str">
        <f t="shared" si="1"/>
        <v>USD</v>
      </c>
      <c r="N107" s="51">
        <f>VLOOKUP($L107,TABLE!$I$3:$O$13,N$2,FALSE)/VLOOKUP($M107,TABLE!$I$3:$O$13,N$2,FALSE)*F107</f>
        <v>13.76</v>
      </c>
      <c r="O107" s="51">
        <f>VLOOKUP($L107,TABLE!$I$3:$O$13,O$2,FALSE)/VLOOKUP($M107,TABLE!$I$3:$O$13,O$2,FALSE)*G107</f>
        <v>15.61</v>
      </c>
      <c r="P107" s="51">
        <f>VLOOKUP($L107,TABLE!$I$3:$O$13,P$2,FALSE)/VLOOKUP($M107,TABLE!$I$3:$O$13,P$2,FALSE)*H107</f>
        <v>19.190000000000001</v>
      </c>
      <c r="Q107" s="51">
        <f>VLOOKUP($L107,TABLE!$I$3:$O$13,Q$2,FALSE)/VLOOKUP($M107,TABLE!$I$3:$O$13,Q$2,FALSE)*I107</f>
        <v>20.46</v>
      </c>
      <c r="R107" s="51">
        <f>VLOOKUP($L107,TABLE!$I$3:$O$13,R$2,FALSE)/VLOOKUP($M107,TABLE!$I$3:$O$13,R$2,FALSE)*J107</f>
        <v>34.22</v>
      </c>
    </row>
    <row r="108" spans="2:18">
      <c r="B108" t="s">
        <v>2</v>
      </c>
      <c r="C108" t="s">
        <v>124</v>
      </c>
      <c r="D108" t="s">
        <v>34</v>
      </c>
      <c r="E108" t="s">
        <v>314</v>
      </c>
      <c r="F108" s="51">
        <v>2.9</v>
      </c>
      <c r="G108" s="51">
        <v>3.6</v>
      </c>
      <c r="H108" s="51">
        <v>4.45</v>
      </c>
      <c r="I108" s="51">
        <v>4.62</v>
      </c>
      <c r="J108" s="51">
        <v>6.16</v>
      </c>
      <c r="L108" t="str">
        <f>VLOOKUP(B108,TABLE!D:E,2,FALSE)</f>
        <v>USD</v>
      </c>
      <c r="M108" t="str">
        <f t="shared" si="1"/>
        <v>USD</v>
      </c>
      <c r="N108" s="51">
        <f>VLOOKUP($L108,TABLE!$I$3:$O$13,N$2,FALSE)/VLOOKUP($M108,TABLE!$I$3:$O$13,N$2,FALSE)*F108</f>
        <v>2.9</v>
      </c>
      <c r="O108" s="51">
        <f>VLOOKUP($L108,TABLE!$I$3:$O$13,O$2,FALSE)/VLOOKUP($M108,TABLE!$I$3:$O$13,O$2,FALSE)*G108</f>
        <v>3.6</v>
      </c>
      <c r="P108" s="51">
        <f>VLOOKUP($L108,TABLE!$I$3:$O$13,P$2,FALSE)/VLOOKUP($M108,TABLE!$I$3:$O$13,P$2,FALSE)*H108</f>
        <v>4.45</v>
      </c>
      <c r="Q108" s="51">
        <f>VLOOKUP($L108,TABLE!$I$3:$O$13,Q$2,FALSE)/VLOOKUP($M108,TABLE!$I$3:$O$13,Q$2,FALSE)*I108</f>
        <v>4.62</v>
      </c>
      <c r="R108" s="51">
        <f>VLOOKUP($L108,TABLE!$I$3:$O$13,R$2,FALSE)/VLOOKUP($M108,TABLE!$I$3:$O$13,R$2,FALSE)*J108</f>
        <v>6.16</v>
      </c>
    </row>
    <row r="109" spans="2:18">
      <c r="B109" t="s">
        <v>2</v>
      </c>
      <c r="C109" t="s">
        <v>124</v>
      </c>
      <c r="D109" t="s">
        <v>48</v>
      </c>
      <c r="E109" t="s">
        <v>315</v>
      </c>
      <c r="F109" s="51">
        <v>-0.19</v>
      </c>
      <c r="G109" s="51">
        <v>0.45200000000000001</v>
      </c>
      <c r="H109" s="51">
        <v>0.93899999999999995</v>
      </c>
      <c r="I109" s="51">
        <v>1.1399999999999999</v>
      </c>
      <c r="J109" s="51">
        <v>1.05</v>
      </c>
      <c r="L109" t="str">
        <f>VLOOKUP(B109,TABLE!D:E,2,FALSE)</f>
        <v>USD</v>
      </c>
      <c r="M109" t="str">
        <f t="shared" si="1"/>
        <v>USD</v>
      </c>
      <c r="N109" s="51">
        <f>VLOOKUP($L109,TABLE!$I$3:$O$13,N$2,FALSE)/VLOOKUP($M109,TABLE!$I$3:$O$13,N$2,FALSE)*F109</f>
        <v>-0.19</v>
      </c>
      <c r="O109" s="51">
        <f>VLOOKUP($L109,TABLE!$I$3:$O$13,O$2,FALSE)/VLOOKUP($M109,TABLE!$I$3:$O$13,O$2,FALSE)*G109</f>
        <v>0.45200000000000001</v>
      </c>
      <c r="P109" s="51">
        <f>VLOOKUP($L109,TABLE!$I$3:$O$13,P$2,FALSE)/VLOOKUP($M109,TABLE!$I$3:$O$13,P$2,FALSE)*H109</f>
        <v>0.93899999999999995</v>
      </c>
      <c r="Q109" s="51">
        <f>VLOOKUP($L109,TABLE!$I$3:$O$13,Q$2,FALSE)/VLOOKUP($M109,TABLE!$I$3:$O$13,Q$2,FALSE)*I109</f>
        <v>1.1399999999999999</v>
      </c>
      <c r="R109" s="51">
        <f>VLOOKUP($L109,TABLE!$I$3:$O$13,R$2,FALSE)/VLOOKUP($M109,TABLE!$I$3:$O$13,R$2,FALSE)*J109</f>
        <v>1.05</v>
      </c>
    </row>
    <row r="110" spans="2:18">
      <c r="B110" t="s">
        <v>2</v>
      </c>
      <c r="C110" t="s">
        <v>124</v>
      </c>
      <c r="D110" t="s">
        <v>50</v>
      </c>
      <c r="E110" t="s">
        <v>316</v>
      </c>
      <c r="F110" s="51">
        <v>1.41</v>
      </c>
      <c r="G110" s="51">
        <v>1.86</v>
      </c>
      <c r="H110" s="51">
        <v>2.5</v>
      </c>
      <c r="I110" s="51">
        <v>2.61</v>
      </c>
      <c r="J110" s="51">
        <v>3.72</v>
      </c>
      <c r="L110" t="str">
        <f>VLOOKUP(B110,TABLE!D:E,2,FALSE)</f>
        <v>USD</v>
      </c>
      <c r="M110" t="str">
        <f t="shared" si="1"/>
        <v>USD</v>
      </c>
      <c r="N110" s="51">
        <f>VLOOKUP($L110,TABLE!$I$3:$O$13,N$2,FALSE)/VLOOKUP($M110,TABLE!$I$3:$O$13,N$2,FALSE)*F110</f>
        <v>1.41</v>
      </c>
      <c r="O110" s="51">
        <f>VLOOKUP($L110,TABLE!$I$3:$O$13,O$2,FALSE)/VLOOKUP($M110,TABLE!$I$3:$O$13,O$2,FALSE)*G110</f>
        <v>1.86</v>
      </c>
      <c r="P110" s="51">
        <f>VLOOKUP($L110,TABLE!$I$3:$O$13,P$2,FALSE)/VLOOKUP($M110,TABLE!$I$3:$O$13,P$2,FALSE)*H110</f>
        <v>2.5</v>
      </c>
      <c r="Q110" s="51">
        <f>VLOOKUP($L110,TABLE!$I$3:$O$13,Q$2,FALSE)/VLOOKUP($M110,TABLE!$I$3:$O$13,Q$2,FALSE)*I110</f>
        <v>2.61</v>
      </c>
      <c r="R110" s="51">
        <f>VLOOKUP($L110,TABLE!$I$3:$O$13,R$2,FALSE)/VLOOKUP($M110,TABLE!$I$3:$O$13,R$2,FALSE)*J110</f>
        <v>3.72</v>
      </c>
    </row>
    <row r="111" spans="2:18">
      <c r="B111" t="s">
        <v>2</v>
      </c>
      <c r="C111" t="s">
        <v>124</v>
      </c>
      <c r="D111" t="s">
        <v>44</v>
      </c>
      <c r="E111" t="s">
        <v>317</v>
      </c>
      <c r="F111" s="51">
        <v>0.67100000000000004</v>
      </c>
      <c r="G111" s="51">
        <v>0.83</v>
      </c>
      <c r="H111" s="51">
        <v>0.78600000000000003</v>
      </c>
      <c r="I111" s="51">
        <v>0.66700000000000004</v>
      </c>
      <c r="J111" s="51">
        <v>0.54564999999999997</v>
      </c>
      <c r="L111" t="str">
        <f>VLOOKUP(B111,TABLE!D:E,2,FALSE)</f>
        <v>USD</v>
      </c>
      <c r="M111" t="str">
        <f t="shared" si="1"/>
        <v>USD</v>
      </c>
      <c r="N111" s="51">
        <f>VLOOKUP($L111,TABLE!$I$3:$O$13,N$2,FALSE)/VLOOKUP($M111,TABLE!$I$3:$O$13,N$2,FALSE)*F111</f>
        <v>0.67100000000000004</v>
      </c>
      <c r="O111" s="51">
        <f>VLOOKUP($L111,TABLE!$I$3:$O$13,O$2,FALSE)/VLOOKUP($M111,TABLE!$I$3:$O$13,O$2,FALSE)*G111</f>
        <v>0.83</v>
      </c>
      <c r="P111" s="51">
        <f>VLOOKUP($L111,TABLE!$I$3:$O$13,P$2,FALSE)/VLOOKUP($M111,TABLE!$I$3:$O$13,P$2,FALSE)*H111</f>
        <v>0.78600000000000003</v>
      </c>
      <c r="Q111" s="51">
        <f>VLOOKUP($L111,TABLE!$I$3:$O$13,Q$2,FALSE)/VLOOKUP($M111,TABLE!$I$3:$O$13,Q$2,FALSE)*I111</f>
        <v>0.66700000000000004</v>
      </c>
      <c r="R111" s="51">
        <f>VLOOKUP($L111,TABLE!$I$3:$O$13,R$2,FALSE)/VLOOKUP($M111,TABLE!$I$3:$O$13,R$2,FALSE)*J111</f>
        <v>0.54564999999999997</v>
      </c>
    </row>
    <row r="112" spans="2:18">
      <c r="B112" t="s">
        <v>2</v>
      </c>
      <c r="C112" t="s">
        <v>124</v>
      </c>
      <c r="D112" t="s">
        <v>42</v>
      </c>
      <c r="E112" t="s">
        <v>318</v>
      </c>
      <c r="F112" s="51">
        <v>0</v>
      </c>
      <c r="G112" s="51">
        <v>0</v>
      </c>
      <c r="H112" s="51">
        <v>0</v>
      </c>
      <c r="I112" s="51">
        <v>0</v>
      </c>
      <c r="J112" s="51">
        <v>5.4429999999999999E-2</v>
      </c>
      <c r="L112" t="str">
        <f>VLOOKUP(B112,TABLE!D:E,2,FALSE)</f>
        <v>USD</v>
      </c>
      <c r="M112" t="str">
        <f t="shared" si="1"/>
        <v>USD</v>
      </c>
      <c r="N112" s="51">
        <f>VLOOKUP($L112,TABLE!$I$3:$O$13,N$2,FALSE)/VLOOKUP($M112,TABLE!$I$3:$O$13,N$2,FALSE)*F112</f>
        <v>0</v>
      </c>
      <c r="O112" s="51">
        <f>VLOOKUP($L112,TABLE!$I$3:$O$13,O$2,FALSE)/VLOOKUP($M112,TABLE!$I$3:$O$13,O$2,FALSE)*G112</f>
        <v>0</v>
      </c>
      <c r="P112" s="51">
        <f>VLOOKUP($L112,TABLE!$I$3:$O$13,P$2,FALSE)/VLOOKUP($M112,TABLE!$I$3:$O$13,P$2,FALSE)*H112</f>
        <v>0</v>
      </c>
      <c r="Q112" s="51">
        <f>VLOOKUP($L112,TABLE!$I$3:$O$13,Q$2,FALSE)/VLOOKUP($M112,TABLE!$I$3:$O$13,Q$2,FALSE)*I112</f>
        <v>0</v>
      </c>
      <c r="R112" s="51">
        <f>VLOOKUP($L112,TABLE!$I$3:$O$13,R$2,FALSE)/VLOOKUP($M112,TABLE!$I$3:$O$13,R$2,FALSE)*J112</f>
        <v>5.4429999999999999E-2</v>
      </c>
    </row>
    <row r="113" spans="2:18">
      <c r="B113" t="s">
        <v>2</v>
      </c>
      <c r="C113" t="s">
        <v>124</v>
      </c>
      <c r="D113" t="s">
        <v>145</v>
      </c>
      <c r="E113" t="s">
        <v>319</v>
      </c>
      <c r="F113" s="51"/>
      <c r="G113" s="51"/>
      <c r="H113" s="51"/>
      <c r="I113" s="51"/>
      <c r="J113" s="51"/>
      <c r="L113" t="str">
        <f>VLOOKUP(B113,TABLE!D:E,2,FALSE)</f>
        <v>USD</v>
      </c>
      <c r="M113" t="str">
        <f t="shared" si="1"/>
        <v>USD</v>
      </c>
      <c r="N113" s="51">
        <f>VLOOKUP($L113,TABLE!$I$3:$O$13,N$2,FALSE)/VLOOKUP($M113,TABLE!$I$3:$O$13,N$2,FALSE)*F113</f>
        <v>0</v>
      </c>
      <c r="O113" s="51">
        <f>VLOOKUP($L113,TABLE!$I$3:$O$13,O$2,FALSE)/VLOOKUP($M113,TABLE!$I$3:$O$13,O$2,FALSE)*G113</f>
        <v>0</v>
      </c>
      <c r="P113" s="51">
        <f>VLOOKUP($L113,TABLE!$I$3:$O$13,P$2,FALSE)/VLOOKUP($M113,TABLE!$I$3:$O$13,P$2,FALSE)*H113</f>
        <v>0</v>
      </c>
      <c r="Q113" s="51">
        <f>VLOOKUP($L113,TABLE!$I$3:$O$13,Q$2,FALSE)/VLOOKUP($M113,TABLE!$I$3:$O$13,Q$2,FALSE)*I113</f>
        <v>0</v>
      </c>
      <c r="R113" s="51">
        <f>VLOOKUP($L113,TABLE!$I$3:$O$13,R$2,FALSE)/VLOOKUP($M113,TABLE!$I$3:$O$13,R$2,FALSE)*J113</f>
        <v>0</v>
      </c>
    </row>
    <row r="114" spans="2:18">
      <c r="B114" t="s">
        <v>2</v>
      </c>
      <c r="C114" t="s">
        <v>124</v>
      </c>
      <c r="D114" t="s">
        <v>36</v>
      </c>
      <c r="E114" t="s">
        <v>320</v>
      </c>
      <c r="F114" s="51">
        <v>1.88</v>
      </c>
      <c r="G114" s="51">
        <v>2.15</v>
      </c>
      <c r="H114" s="51">
        <v>2.37</v>
      </c>
      <c r="I114" s="51">
        <v>2.46</v>
      </c>
      <c r="J114" s="51">
        <v>3.44</v>
      </c>
      <c r="L114" t="str">
        <f>VLOOKUP(B114,TABLE!D:E,2,FALSE)</f>
        <v>USD</v>
      </c>
      <c r="M114" t="str">
        <f t="shared" si="1"/>
        <v>USD</v>
      </c>
      <c r="N114" s="51">
        <f>VLOOKUP($L114,TABLE!$I$3:$O$13,N$2,FALSE)/VLOOKUP($M114,TABLE!$I$3:$O$13,N$2,FALSE)*F114</f>
        <v>1.88</v>
      </c>
      <c r="O114" s="51">
        <f>VLOOKUP($L114,TABLE!$I$3:$O$13,O$2,FALSE)/VLOOKUP($M114,TABLE!$I$3:$O$13,O$2,FALSE)*G114</f>
        <v>2.15</v>
      </c>
      <c r="P114" s="51">
        <f>VLOOKUP($L114,TABLE!$I$3:$O$13,P$2,FALSE)/VLOOKUP($M114,TABLE!$I$3:$O$13,P$2,FALSE)*H114</f>
        <v>2.37</v>
      </c>
      <c r="Q114" s="51">
        <f>VLOOKUP($L114,TABLE!$I$3:$O$13,Q$2,FALSE)/VLOOKUP($M114,TABLE!$I$3:$O$13,Q$2,FALSE)*I114</f>
        <v>2.46</v>
      </c>
      <c r="R114" s="51">
        <f>VLOOKUP($L114,TABLE!$I$3:$O$13,R$2,FALSE)/VLOOKUP($M114,TABLE!$I$3:$O$13,R$2,FALSE)*J114</f>
        <v>3.44</v>
      </c>
    </row>
    <row r="115" spans="2:18">
      <c r="B115" t="s">
        <v>2</v>
      </c>
      <c r="C115" t="s">
        <v>124</v>
      </c>
      <c r="D115" t="s">
        <v>38</v>
      </c>
      <c r="E115" t="s">
        <v>321</v>
      </c>
      <c r="F115" s="51">
        <v>0.39800000000000002</v>
      </c>
      <c r="G115" s="51">
        <v>0.45100000000000001</v>
      </c>
      <c r="H115" s="51">
        <v>0.52600000000000002</v>
      </c>
      <c r="I115" s="51">
        <v>0.65200000000000002</v>
      </c>
      <c r="J115" s="51">
        <v>0.48060000000000003</v>
      </c>
      <c r="L115" t="str">
        <f>VLOOKUP(B115,TABLE!D:E,2,FALSE)</f>
        <v>USD</v>
      </c>
      <c r="M115" t="str">
        <f t="shared" si="1"/>
        <v>USD</v>
      </c>
      <c r="N115" s="51">
        <f>VLOOKUP($L115,TABLE!$I$3:$O$13,N$2,FALSE)/VLOOKUP($M115,TABLE!$I$3:$O$13,N$2,FALSE)*F115</f>
        <v>0.39800000000000002</v>
      </c>
      <c r="O115" s="51">
        <f>VLOOKUP($L115,TABLE!$I$3:$O$13,O$2,FALSE)/VLOOKUP($M115,TABLE!$I$3:$O$13,O$2,FALSE)*G115</f>
        <v>0.45100000000000001</v>
      </c>
      <c r="P115" s="51">
        <f>VLOOKUP($L115,TABLE!$I$3:$O$13,P$2,FALSE)/VLOOKUP($M115,TABLE!$I$3:$O$13,P$2,FALSE)*H115</f>
        <v>0.52600000000000002</v>
      </c>
      <c r="Q115" s="51">
        <f>VLOOKUP($L115,TABLE!$I$3:$O$13,Q$2,FALSE)/VLOOKUP($M115,TABLE!$I$3:$O$13,Q$2,FALSE)*I115</f>
        <v>0.65200000000000002</v>
      </c>
      <c r="R115" s="51">
        <f>VLOOKUP($L115,TABLE!$I$3:$O$13,R$2,FALSE)/VLOOKUP($M115,TABLE!$I$3:$O$13,R$2,FALSE)*J115</f>
        <v>0.48060000000000003</v>
      </c>
    </row>
    <row r="116" spans="2:18">
      <c r="B116" t="s">
        <v>2</v>
      </c>
      <c r="C116" t="s">
        <v>124</v>
      </c>
      <c r="D116" t="s">
        <v>40</v>
      </c>
      <c r="E116" t="s">
        <v>322</v>
      </c>
      <c r="F116" s="51">
        <v>1.49</v>
      </c>
      <c r="G116" s="51">
        <v>1.7</v>
      </c>
      <c r="H116" s="51">
        <v>1.84</v>
      </c>
      <c r="I116" s="51">
        <v>1.81</v>
      </c>
      <c r="J116" s="51">
        <v>2.96</v>
      </c>
      <c r="L116" t="str">
        <f>VLOOKUP(B116,TABLE!D:E,2,FALSE)</f>
        <v>USD</v>
      </c>
      <c r="M116" t="str">
        <f t="shared" si="1"/>
        <v>USD</v>
      </c>
      <c r="N116" s="51">
        <f>VLOOKUP($L116,TABLE!$I$3:$O$13,N$2,FALSE)/VLOOKUP($M116,TABLE!$I$3:$O$13,N$2,FALSE)*F116</f>
        <v>1.49</v>
      </c>
      <c r="O116" s="51">
        <f>VLOOKUP($L116,TABLE!$I$3:$O$13,O$2,FALSE)/VLOOKUP($M116,TABLE!$I$3:$O$13,O$2,FALSE)*G116</f>
        <v>1.7</v>
      </c>
      <c r="P116" s="51">
        <f>VLOOKUP($L116,TABLE!$I$3:$O$13,P$2,FALSE)/VLOOKUP($M116,TABLE!$I$3:$O$13,P$2,FALSE)*H116</f>
        <v>1.84</v>
      </c>
      <c r="Q116" s="51">
        <f>VLOOKUP($L116,TABLE!$I$3:$O$13,Q$2,FALSE)/VLOOKUP($M116,TABLE!$I$3:$O$13,Q$2,FALSE)*I116</f>
        <v>1.81</v>
      </c>
      <c r="R116" s="51">
        <f>VLOOKUP($L116,TABLE!$I$3:$O$13,R$2,FALSE)/VLOOKUP($M116,TABLE!$I$3:$O$13,R$2,FALSE)*J116</f>
        <v>2.96</v>
      </c>
    </row>
    <row r="117" spans="2:18">
      <c r="B117" t="s">
        <v>2</v>
      </c>
      <c r="C117" t="s">
        <v>124</v>
      </c>
      <c r="D117" t="s">
        <v>46</v>
      </c>
      <c r="E117" t="s">
        <v>323</v>
      </c>
      <c r="F117" s="51">
        <v>-9.2999999999999999E-2</v>
      </c>
      <c r="G117" s="51">
        <v>0.41599999999999998</v>
      </c>
      <c r="H117" s="51">
        <v>1.1499999999999999</v>
      </c>
      <c r="I117" s="51">
        <v>1.45</v>
      </c>
      <c r="J117" s="51">
        <v>2</v>
      </c>
      <c r="L117" t="str">
        <f>VLOOKUP(B117,TABLE!D:E,2,FALSE)</f>
        <v>USD</v>
      </c>
      <c r="M117" t="str">
        <f t="shared" si="1"/>
        <v>USD</v>
      </c>
      <c r="N117" s="51">
        <f>VLOOKUP($L117,TABLE!$I$3:$O$13,N$2,FALSE)/VLOOKUP($M117,TABLE!$I$3:$O$13,N$2,FALSE)*F117</f>
        <v>-9.2999999999999999E-2</v>
      </c>
      <c r="O117" s="51">
        <f>VLOOKUP($L117,TABLE!$I$3:$O$13,O$2,FALSE)/VLOOKUP($M117,TABLE!$I$3:$O$13,O$2,FALSE)*G117</f>
        <v>0.41599999999999998</v>
      </c>
      <c r="P117" s="51">
        <f>VLOOKUP($L117,TABLE!$I$3:$O$13,P$2,FALSE)/VLOOKUP($M117,TABLE!$I$3:$O$13,P$2,FALSE)*H117</f>
        <v>1.1499999999999999</v>
      </c>
      <c r="Q117" s="51">
        <f>VLOOKUP($L117,TABLE!$I$3:$O$13,Q$2,FALSE)/VLOOKUP($M117,TABLE!$I$3:$O$13,Q$2,FALSE)*I117</f>
        <v>1.45</v>
      </c>
      <c r="R117" s="51">
        <f>VLOOKUP($L117,TABLE!$I$3:$O$13,R$2,FALSE)/VLOOKUP($M117,TABLE!$I$3:$O$13,R$2,FALSE)*J117</f>
        <v>2</v>
      </c>
    </row>
    <row r="118" spans="2:18">
      <c r="B118" t="s">
        <v>19</v>
      </c>
      <c r="C118" t="s">
        <v>124</v>
      </c>
      <c r="D118" t="s">
        <v>9</v>
      </c>
      <c r="E118" t="s">
        <v>324</v>
      </c>
      <c r="F118" s="51">
        <v>4.87</v>
      </c>
      <c r="G118" s="51">
        <v>3.59</v>
      </c>
      <c r="H118" s="51">
        <v>3.06</v>
      </c>
      <c r="I118" s="51">
        <v>5.49</v>
      </c>
      <c r="J118" s="51">
        <v>6.13</v>
      </c>
      <c r="L118" t="str">
        <f>VLOOKUP(B118,TABLE!D:E,2,FALSE)</f>
        <v>USD</v>
      </c>
      <c r="M118" t="str">
        <f t="shared" si="1"/>
        <v>USD</v>
      </c>
      <c r="N118" s="51">
        <f>VLOOKUP($L118,TABLE!$I$3:$O$13,N$2,FALSE)/VLOOKUP($M118,TABLE!$I$3:$O$13,N$2,FALSE)*F118</f>
        <v>4.87</v>
      </c>
      <c r="O118" s="51">
        <f>VLOOKUP($L118,TABLE!$I$3:$O$13,O$2,FALSE)/VLOOKUP($M118,TABLE!$I$3:$O$13,O$2,FALSE)*G118</f>
        <v>3.59</v>
      </c>
      <c r="P118" s="51">
        <f>VLOOKUP($L118,TABLE!$I$3:$O$13,P$2,FALSE)/VLOOKUP($M118,TABLE!$I$3:$O$13,P$2,FALSE)*H118</f>
        <v>3.06</v>
      </c>
      <c r="Q118" s="51">
        <f>VLOOKUP($L118,TABLE!$I$3:$O$13,Q$2,FALSE)/VLOOKUP($M118,TABLE!$I$3:$O$13,Q$2,FALSE)*I118</f>
        <v>5.49</v>
      </c>
      <c r="R118" s="51">
        <f>VLOOKUP($L118,TABLE!$I$3:$O$13,R$2,FALSE)/VLOOKUP($M118,TABLE!$I$3:$O$13,R$2,FALSE)*J118</f>
        <v>6.13</v>
      </c>
    </row>
    <row r="119" spans="2:18">
      <c r="B119" t="s">
        <v>19</v>
      </c>
      <c r="C119" t="s">
        <v>124</v>
      </c>
      <c r="D119" t="s">
        <v>11</v>
      </c>
      <c r="E119" t="s">
        <v>325</v>
      </c>
      <c r="F119" s="51">
        <v>13.91</v>
      </c>
      <c r="G119" s="51">
        <v>16.79</v>
      </c>
      <c r="H119" s="51">
        <v>17.95</v>
      </c>
      <c r="I119" s="51">
        <v>18.95</v>
      </c>
      <c r="J119" s="51">
        <v>17.18</v>
      </c>
      <c r="L119" t="str">
        <f>VLOOKUP(B119,TABLE!D:E,2,FALSE)</f>
        <v>USD</v>
      </c>
      <c r="M119" t="str">
        <f t="shared" si="1"/>
        <v>USD</v>
      </c>
      <c r="N119" s="51">
        <f>VLOOKUP($L119,TABLE!$I$3:$O$13,N$2,FALSE)/VLOOKUP($M119,TABLE!$I$3:$O$13,N$2,FALSE)*F119</f>
        <v>13.91</v>
      </c>
      <c r="O119" s="51">
        <f>VLOOKUP($L119,TABLE!$I$3:$O$13,O$2,FALSE)/VLOOKUP($M119,TABLE!$I$3:$O$13,O$2,FALSE)*G119</f>
        <v>16.79</v>
      </c>
      <c r="P119" s="51">
        <f>VLOOKUP($L119,TABLE!$I$3:$O$13,P$2,FALSE)/VLOOKUP($M119,TABLE!$I$3:$O$13,P$2,FALSE)*H119</f>
        <v>17.95</v>
      </c>
      <c r="Q119" s="51">
        <f>VLOOKUP($L119,TABLE!$I$3:$O$13,Q$2,FALSE)/VLOOKUP($M119,TABLE!$I$3:$O$13,Q$2,FALSE)*I119</f>
        <v>18.95</v>
      </c>
      <c r="R119" s="51">
        <f>VLOOKUP($L119,TABLE!$I$3:$O$13,R$2,FALSE)/VLOOKUP($M119,TABLE!$I$3:$O$13,R$2,FALSE)*J119</f>
        <v>17.18</v>
      </c>
    </row>
    <row r="120" spans="2:18">
      <c r="B120" t="s">
        <v>19</v>
      </c>
      <c r="C120" t="s">
        <v>124</v>
      </c>
      <c r="D120" t="s">
        <v>13</v>
      </c>
      <c r="E120" t="s">
        <v>326</v>
      </c>
      <c r="F120" s="51">
        <v>6.36</v>
      </c>
      <c r="G120" s="51">
        <v>9.59</v>
      </c>
      <c r="H120" s="51">
        <v>14.54</v>
      </c>
      <c r="I120" s="51">
        <v>15.55</v>
      </c>
      <c r="J120" s="51">
        <v>12.63</v>
      </c>
      <c r="L120" t="str">
        <f>VLOOKUP(B120,TABLE!D:E,2,FALSE)</f>
        <v>USD</v>
      </c>
      <c r="M120" t="str">
        <f t="shared" si="1"/>
        <v>USD</v>
      </c>
      <c r="N120" s="51">
        <f>VLOOKUP($L120,TABLE!$I$3:$O$13,N$2,FALSE)/VLOOKUP($M120,TABLE!$I$3:$O$13,N$2,FALSE)*F120</f>
        <v>6.36</v>
      </c>
      <c r="O120" s="51">
        <f>VLOOKUP($L120,TABLE!$I$3:$O$13,O$2,FALSE)/VLOOKUP($M120,TABLE!$I$3:$O$13,O$2,FALSE)*G120</f>
        <v>9.59</v>
      </c>
      <c r="P120" s="51">
        <f>VLOOKUP($L120,TABLE!$I$3:$O$13,P$2,FALSE)/VLOOKUP($M120,TABLE!$I$3:$O$13,P$2,FALSE)*H120</f>
        <v>14.54</v>
      </c>
      <c r="Q120" s="51">
        <f>VLOOKUP($L120,TABLE!$I$3:$O$13,Q$2,FALSE)/VLOOKUP($M120,TABLE!$I$3:$O$13,Q$2,FALSE)*I120</f>
        <v>15.55</v>
      </c>
      <c r="R120" s="51">
        <f>VLOOKUP($L120,TABLE!$I$3:$O$13,R$2,FALSE)/VLOOKUP($M120,TABLE!$I$3:$O$13,R$2,FALSE)*J120</f>
        <v>12.63</v>
      </c>
    </row>
    <row r="121" spans="2:18">
      <c r="B121" t="s">
        <v>19</v>
      </c>
      <c r="C121" t="s">
        <v>124</v>
      </c>
      <c r="D121" t="s">
        <v>15</v>
      </c>
      <c r="E121" t="s">
        <v>327</v>
      </c>
      <c r="F121" s="51">
        <v>26.79</v>
      </c>
      <c r="G121" s="51">
        <v>31.81</v>
      </c>
      <c r="H121" s="51">
        <v>38.130000000000003</v>
      </c>
      <c r="I121" s="51">
        <v>42.52</v>
      </c>
      <c r="J121" s="51">
        <v>38.340000000000003</v>
      </c>
      <c r="L121" t="str">
        <f>VLOOKUP(B121,TABLE!D:E,2,FALSE)</f>
        <v>USD</v>
      </c>
      <c r="M121" t="str">
        <f t="shared" si="1"/>
        <v>USD</v>
      </c>
      <c r="N121" s="51">
        <f>VLOOKUP($L121,TABLE!$I$3:$O$13,N$2,FALSE)/VLOOKUP($M121,TABLE!$I$3:$O$13,N$2,FALSE)*F121</f>
        <v>26.79</v>
      </c>
      <c r="O121" s="51">
        <f>VLOOKUP($L121,TABLE!$I$3:$O$13,O$2,FALSE)/VLOOKUP($M121,TABLE!$I$3:$O$13,O$2,FALSE)*G121</f>
        <v>31.81</v>
      </c>
      <c r="P121" s="51">
        <f>VLOOKUP($L121,TABLE!$I$3:$O$13,P$2,FALSE)/VLOOKUP($M121,TABLE!$I$3:$O$13,P$2,FALSE)*H121</f>
        <v>38.130000000000003</v>
      </c>
      <c r="Q121" s="51">
        <f>VLOOKUP($L121,TABLE!$I$3:$O$13,Q$2,FALSE)/VLOOKUP($M121,TABLE!$I$3:$O$13,Q$2,FALSE)*I121</f>
        <v>42.52</v>
      </c>
      <c r="R121" s="51">
        <f>VLOOKUP($L121,TABLE!$I$3:$O$13,R$2,FALSE)/VLOOKUP($M121,TABLE!$I$3:$O$13,R$2,FALSE)*J121</f>
        <v>38.340000000000003</v>
      </c>
    </row>
    <row r="122" spans="2:18">
      <c r="B122" t="s">
        <v>19</v>
      </c>
      <c r="C122" t="s">
        <v>124</v>
      </c>
      <c r="D122" t="s">
        <v>18</v>
      </c>
      <c r="E122" t="s">
        <v>328</v>
      </c>
      <c r="F122" s="51">
        <v>60.04</v>
      </c>
      <c r="G122" s="51">
        <v>64.02</v>
      </c>
      <c r="H122" s="51">
        <v>81.45</v>
      </c>
      <c r="I122" s="51">
        <v>89.36</v>
      </c>
      <c r="J122" s="51">
        <v>84.9</v>
      </c>
      <c r="L122" t="str">
        <f>VLOOKUP(B122,TABLE!D:E,2,FALSE)</f>
        <v>USD</v>
      </c>
      <c r="M122" t="str">
        <f t="shared" si="1"/>
        <v>USD</v>
      </c>
      <c r="N122" s="51">
        <f>VLOOKUP($L122,TABLE!$I$3:$O$13,N$2,FALSE)/VLOOKUP($M122,TABLE!$I$3:$O$13,N$2,FALSE)*F122</f>
        <v>60.04</v>
      </c>
      <c r="O122" s="51">
        <f>VLOOKUP($L122,TABLE!$I$3:$O$13,O$2,FALSE)/VLOOKUP($M122,TABLE!$I$3:$O$13,O$2,FALSE)*G122</f>
        <v>64.02</v>
      </c>
      <c r="P122" s="51">
        <f>VLOOKUP($L122,TABLE!$I$3:$O$13,P$2,FALSE)/VLOOKUP($M122,TABLE!$I$3:$O$13,P$2,FALSE)*H122</f>
        <v>81.45</v>
      </c>
      <c r="Q122" s="51">
        <f>VLOOKUP($L122,TABLE!$I$3:$O$13,Q$2,FALSE)/VLOOKUP($M122,TABLE!$I$3:$O$13,Q$2,FALSE)*I122</f>
        <v>89.36</v>
      </c>
      <c r="R122" s="51">
        <f>VLOOKUP($L122,TABLE!$I$3:$O$13,R$2,FALSE)/VLOOKUP($M122,TABLE!$I$3:$O$13,R$2,FALSE)*J122</f>
        <v>84.9</v>
      </c>
    </row>
    <row r="123" spans="2:18">
      <c r="B123" t="s">
        <v>19</v>
      </c>
      <c r="C123" t="s">
        <v>124</v>
      </c>
      <c r="D123" t="s">
        <v>21</v>
      </c>
      <c r="E123" t="s">
        <v>329</v>
      </c>
      <c r="F123" s="51">
        <v>19.29</v>
      </c>
      <c r="G123" s="51">
        <v>22.02</v>
      </c>
      <c r="H123" s="51">
        <v>28.56</v>
      </c>
      <c r="I123" s="51">
        <v>29.76</v>
      </c>
      <c r="J123" s="51">
        <v>27.3</v>
      </c>
      <c r="L123" t="str">
        <f>VLOOKUP(B123,TABLE!D:E,2,FALSE)</f>
        <v>USD</v>
      </c>
      <c r="M123" t="str">
        <f t="shared" si="1"/>
        <v>USD</v>
      </c>
      <c r="N123" s="51">
        <f>VLOOKUP($L123,TABLE!$I$3:$O$13,N$2,FALSE)/VLOOKUP($M123,TABLE!$I$3:$O$13,N$2,FALSE)*F123</f>
        <v>19.29</v>
      </c>
      <c r="O123" s="51">
        <f>VLOOKUP($L123,TABLE!$I$3:$O$13,O$2,FALSE)/VLOOKUP($M123,TABLE!$I$3:$O$13,O$2,FALSE)*G123</f>
        <v>22.02</v>
      </c>
      <c r="P123" s="51">
        <f>VLOOKUP($L123,TABLE!$I$3:$O$13,P$2,FALSE)/VLOOKUP($M123,TABLE!$I$3:$O$13,P$2,FALSE)*H123</f>
        <v>28.56</v>
      </c>
      <c r="Q123" s="51">
        <f>VLOOKUP($L123,TABLE!$I$3:$O$13,Q$2,FALSE)/VLOOKUP($M123,TABLE!$I$3:$O$13,Q$2,FALSE)*I123</f>
        <v>29.76</v>
      </c>
      <c r="R123" s="51">
        <f>VLOOKUP($L123,TABLE!$I$3:$O$13,R$2,FALSE)/VLOOKUP($M123,TABLE!$I$3:$O$13,R$2,FALSE)*J123</f>
        <v>27.3</v>
      </c>
    </row>
    <row r="124" spans="2:18">
      <c r="B124" t="s">
        <v>19</v>
      </c>
      <c r="C124" t="s">
        <v>124</v>
      </c>
      <c r="D124" t="s">
        <v>20</v>
      </c>
      <c r="E124" t="s">
        <v>330</v>
      </c>
      <c r="F124" s="51">
        <v>2.99</v>
      </c>
      <c r="G124" s="51">
        <v>5.86</v>
      </c>
      <c r="H124" s="51">
        <v>8.16</v>
      </c>
      <c r="I124" s="51">
        <v>6.75</v>
      </c>
      <c r="J124" s="51">
        <v>6.56</v>
      </c>
      <c r="L124" t="str">
        <f>VLOOKUP(B124,TABLE!D:E,2,FALSE)</f>
        <v>USD</v>
      </c>
      <c r="M124" t="str">
        <f t="shared" si="1"/>
        <v>USD</v>
      </c>
      <c r="N124" s="51">
        <f>VLOOKUP($L124,TABLE!$I$3:$O$13,N$2,FALSE)/VLOOKUP($M124,TABLE!$I$3:$O$13,N$2,FALSE)*F124</f>
        <v>2.99</v>
      </c>
      <c r="O124" s="51">
        <f>VLOOKUP($L124,TABLE!$I$3:$O$13,O$2,FALSE)/VLOOKUP($M124,TABLE!$I$3:$O$13,O$2,FALSE)*G124</f>
        <v>5.86</v>
      </c>
      <c r="P124" s="51">
        <f>VLOOKUP($L124,TABLE!$I$3:$O$13,P$2,FALSE)/VLOOKUP($M124,TABLE!$I$3:$O$13,P$2,FALSE)*H124</f>
        <v>8.16</v>
      </c>
      <c r="Q124" s="51">
        <f>VLOOKUP($L124,TABLE!$I$3:$O$13,Q$2,FALSE)/VLOOKUP($M124,TABLE!$I$3:$O$13,Q$2,FALSE)*I124</f>
        <v>6.75</v>
      </c>
      <c r="R124" s="51">
        <f>VLOOKUP($L124,TABLE!$I$3:$O$13,R$2,FALSE)/VLOOKUP($M124,TABLE!$I$3:$O$13,R$2,FALSE)*J124</f>
        <v>6.56</v>
      </c>
    </row>
    <row r="125" spans="2:18">
      <c r="B125" t="s">
        <v>19</v>
      </c>
      <c r="C125" t="s">
        <v>124</v>
      </c>
      <c r="D125" t="s">
        <v>25</v>
      </c>
      <c r="E125" t="s">
        <v>331</v>
      </c>
      <c r="F125" s="51">
        <v>9.3000000000000007</v>
      </c>
      <c r="G125" s="51">
        <v>11.33</v>
      </c>
      <c r="H125" s="51">
        <v>13.4</v>
      </c>
      <c r="I125" s="51">
        <v>17.579999999999998</v>
      </c>
      <c r="J125" s="51">
        <v>20.88</v>
      </c>
      <c r="L125" t="str">
        <f>VLOOKUP(B125,TABLE!D:E,2,FALSE)</f>
        <v>USD</v>
      </c>
      <c r="M125" t="str">
        <f t="shared" si="1"/>
        <v>USD</v>
      </c>
      <c r="N125" s="51">
        <f>VLOOKUP($L125,TABLE!$I$3:$O$13,N$2,FALSE)/VLOOKUP($M125,TABLE!$I$3:$O$13,N$2,FALSE)*F125</f>
        <v>9.3000000000000007</v>
      </c>
      <c r="O125" s="51">
        <f>VLOOKUP($L125,TABLE!$I$3:$O$13,O$2,FALSE)/VLOOKUP($M125,TABLE!$I$3:$O$13,O$2,FALSE)*G125</f>
        <v>11.33</v>
      </c>
      <c r="P125" s="51">
        <f>VLOOKUP($L125,TABLE!$I$3:$O$13,P$2,FALSE)/VLOOKUP($M125,TABLE!$I$3:$O$13,P$2,FALSE)*H125</f>
        <v>13.4</v>
      </c>
      <c r="Q125" s="51">
        <f>VLOOKUP($L125,TABLE!$I$3:$O$13,Q$2,FALSE)/VLOOKUP($M125,TABLE!$I$3:$O$13,Q$2,FALSE)*I125</f>
        <v>17.579999999999998</v>
      </c>
      <c r="R125" s="51">
        <f>VLOOKUP($L125,TABLE!$I$3:$O$13,R$2,FALSE)/VLOOKUP($M125,TABLE!$I$3:$O$13,R$2,FALSE)*J125</f>
        <v>20.88</v>
      </c>
    </row>
    <row r="126" spans="2:18">
      <c r="B126" t="s">
        <v>19</v>
      </c>
      <c r="C126" t="s">
        <v>124</v>
      </c>
      <c r="D126" t="s">
        <v>30</v>
      </c>
      <c r="E126" t="s">
        <v>332</v>
      </c>
      <c r="F126" s="51">
        <v>32.46</v>
      </c>
      <c r="G126" s="51">
        <v>42.59</v>
      </c>
      <c r="H126" s="51">
        <v>60.14</v>
      </c>
      <c r="I126" s="51">
        <v>65.88</v>
      </c>
      <c r="J126" s="51">
        <v>55.66</v>
      </c>
      <c r="L126" t="str">
        <f>VLOOKUP(B126,TABLE!D:E,2,FALSE)</f>
        <v>USD</v>
      </c>
      <c r="M126" t="str">
        <f t="shared" si="1"/>
        <v>USD</v>
      </c>
      <c r="N126" s="51">
        <f>VLOOKUP($L126,TABLE!$I$3:$O$13,N$2,FALSE)/VLOOKUP($M126,TABLE!$I$3:$O$13,N$2,FALSE)*F126</f>
        <v>32.46</v>
      </c>
      <c r="O126" s="51">
        <f>VLOOKUP($L126,TABLE!$I$3:$O$13,O$2,FALSE)/VLOOKUP($M126,TABLE!$I$3:$O$13,O$2,FALSE)*G126</f>
        <v>42.59</v>
      </c>
      <c r="P126" s="51">
        <f>VLOOKUP($L126,TABLE!$I$3:$O$13,P$2,FALSE)/VLOOKUP($M126,TABLE!$I$3:$O$13,P$2,FALSE)*H126</f>
        <v>60.14</v>
      </c>
      <c r="Q126" s="51">
        <f>VLOOKUP($L126,TABLE!$I$3:$O$13,Q$2,FALSE)/VLOOKUP($M126,TABLE!$I$3:$O$13,Q$2,FALSE)*I126</f>
        <v>65.88</v>
      </c>
      <c r="R126" s="51">
        <f>VLOOKUP($L126,TABLE!$I$3:$O$13,R$2,FALSE)/VLOOKUP($M126,TABLE!$I$3:$O$13,R$2,FALSE)*J126</f>
        <v>55.66</v>
      </c>
    </row>
    <row r="127" spans="2:18">
      <c r="B127" t="s">
        <v>19</v>
      </c>
      <c r="C127" t="s">
        <v>124</v>
      </c>
      <c r="D127" t="s">
        <v>34</v>
      </c>
      <c r="E127" t="s">
        <v>333</v>
      </c>
      <c r="F127" s="51">
        <v>7.86</v>
      </c>
      <c r="G127" s="51">
        <v>11.53</v>
      </c>
      <c r="H127" s="51">
        <v>15.87</v>
      </c>
      <c r="I127" s="51">
        <v>18.13</v>
      </c>
      <c r="J127" s="51">
        <v>14.16</v>
      </c>
      <c r="L127" t="str">
        <f>VLOOKUP(B127,TABLE!D:E,2,FALSE)</f>
        <v>USD</v>
      </c>
      <c r="M127" t="str">
        <f t="shared" si="1"/>
        <v>USD</v>
      </c>
      <c r="N127" s="51">
        <f>VLOOKUP($L127,TABLE!$I$3:$O$13,N$2,FALSE)/VLOOKUP($M127,TABLE!$I$3:$O$13,N$2,FALSE)*F127</f>
        <v>7.86</v>
      </c>
      <c r="O127" s="51">
        <f>VLOOKUP($L127,TABLE!$I$3:$O$13,O$2,FALSE)/VLOOKUP($M127,TABLE!$I$3:$O$13,O$2,FALSE)*G127</f>
        <v>11.53</v>
      </c>
      <c r="P127" s="51">
        <f>VLOOKUP($L127,TABLE!$I$3:$O$13,P$2,FALSE)/VLOOKUP($M127,TABLE!$I$3:$O$13,P$2,FALSE)*H127</f>
        <v>15.87</v>
      </c>
      <c r="Q127" s="51">
        <f>VLOOKUP($L127,TABLE!$I$3:$O$13,Q$2,FALSE)/VLOOKUP($M127,TABLE!$I$3:$O$13,Q$2,FALSE)*I127</f>
        <v>18.13</v>
      </c>
      <c r="R127" s="51">
        <f>VLOOKUP($L127,TABLE!$I$3:$O$13,R$2,FALSE)/VLOOKUP($M127,TABLE!$I$3:$O$13,R$2,FALSE)*J127</f>
        <v>14.16</v>
      </c>
    </row>
    <row r="128" spans="2:18">
      <c r="B128" t="s">
        <v>19</v>
      </c>
      <c r="C128" t="s">
        <v>124</v>
      </c>
      <c r="D128" t="s">
        <v>48</v>
      </c>
      <c r="E128" t="s">
        <v>334</v>
      </c>
      <c r="F128" s="51">
        <v>0.89500000000000002</v>
      </c>
      <c r="G128" s="51">
        <v>2.7</v>
      </c>
      <c r="H128" s="51">
        <v>4.93</v>
      </c>
      <c r="I128" s="51">
        <v>5.68</v>
      </c>
      <c r="J128" s="51">
        <v>3.79</v>
      </c>
      <c r="L128" t="str">
        <f>VLOOKUP(B128,TABLE!D:E,2,FALSE)</f>
        <v>USD</v>
      </c>
      <c r="M128" t="str">
        <f t="shared" si="1"/>
        <v>USD</v>
      </c>
      <c r="N128" s="51">
        <f>VLOOKUP($L128,TABLE!$I$3:$O$13,N$2,FALSE)/VLOOKUP($M128,TABLE!$I$3:$O$13,N$2,FALSE)*F128</f>
        <v>0.89500000000000002</v>
      </c>
      <c r="O128" s="51">
        <f>VLOOKUP($L128,TABLE!$I$3:$O$13,O$2,FALSE)/VLOOKUP($M128,TABLE!$I$3:$O$13,O$2,FALSE)*G128</f>
        <v>2.7</v>
      </c>
      <c r="P128" s="51">
        <f>VLOOKUP($L128,TABLE!$I$3:$O$13,P$2,FALSE)/VLOOKUP($M128,TABLE!$I$3:$O$13,P$2,FALSE)*H128</f>
        <v>4.93</v>
      </c>
      <c r="Q128" s="51">
        <f>VLOOKUP($L128,TABLE!$I$3:$O$13,Q$2,FALSE)/VLOOKUP($M128,TABLE!$I$3:$O$13,Q$2,FALSE)*I128</f>
        <v>5.68</v>
      </c>
      <c r="R128" s="51">
        <f>VLOOKUP($L128,TABLE!$I$3:$O$13,R$2,FALSE)/VLOOKUP($M128,TABLE!$I$3:$O$13,R$2,FALSE)*J128</f>
        <v>3.79</v>
      </c>
    </row>
    <row r="129" spans="2:18">
      <c r="B129" t="s">
        <v>19</v>
      </c>
      <c r="C129" t="s">
        <v>124</v>
      </c>
      <c r="D129" t="s">
        <v>50</v>
      </c>
      <c r="E129" t="s">
        <v>335</v>
      </c>
      <c r="F129" s="51">
        <v>4.75</v>
      </c>
      <c r="G129" s="51">
        <v>7.26</v>
      </c>
      <c r="H129" s="51">
        <v>10.63</v>
      </c>
      <c r="I129" s="51">
        <v>12.47</v>
      </c>
      <c r="J129" s="51">
        <v>9.76</v>
      </c>
      <c r="L129" t="str">
        <f>VLOOKUP(B129,TABLE!D:E,2,FALSE)</f>
        <v>USD</v>
      </c>
      <c r="M129" t="str">
        <f t="shared" si="1"/>
        <v>USD</v>
      </c>
      <c r="N129" s="51">
        <f>VLOOKUP($L129,TABLE!$I$3:$O$13,N$2,FALSE)/VLOOKUP($M129,TABLE!$I$3:$O$13,N$2,FALSE)*F129</f>
        <v>4.75</v>
      </c>
      <c r="O129" s="51">
        <f>VLOOKUP($L129,TABLE!$I$3:$O$13,O$2,FALSE)/VLOOKUP($M129,TABLE!$I$3:$O$13,O$2,FALSE)*G129</f>
        <v>7.26</v>
      </c>
      <c r="P129" s="51">
        <f>VLOOKUP($L129,TABLE!$I$3:$O$13,P$2,FALSE)/VLOOKUP($M129,TABLE!$I$3:$O$13,P$2,FALSE)*H129</f>
        <v>10.63</v>
      </c>
      <c r="Q129" s="51">
        <f>VLOOKUP($L129,TABLE!$I$3:$O$13,Q$2,FALSE)/VLOOKUP($M129,TABLE!$I$3:$O$13,Q$2,FALSE)*I129</f>
        <v>12.47</v>
      </c>
      <c r="R129" s="51">
        <f>VLOOKUP($L129,TABLE!$I$3:$O$13,R$2,FALSE)/VLOOKUP($M129,TABLE!$I$3:$O$13,R$2,FALSE)*J129</f>
        <v>9.76</v>
      </c>
    </row>
    <row r="130" spans="2:18">
      <c r="B130" t="s">
        <v>19</v>
      </c>
      <c r="C130" t="s">
        <v>124</v>
      </c>
      <c r="D130" t="s">
        <v>44</v>
      </c>
      <c r="E130" t="s">
        <v>336</v>
      </c>
      <c r="F130" s="51">
        <v>1.35</v>
      </c>
      <c r="G130" s="51">
        <v>1.21</v>
      </c>
      <c r="H130" s="51">
        <v>1.21</v>
      </c>
      <c r="I130" s="51">
        <v>1.27</v>
      </c>
      <c r="J130" s="51">
        <v>1.19</v>
      </c>
      <c r="L130" t="str">
        <f>VLOOKUP(B130,TABLE!D:E,2,FALSE)</f>
        <v>USD</v>
      </c>
      <c r="M130" t="str">
        <f t="shared" si="1"/>
        <v>USD</v>
      </c>
      <c r="N130" s="51">
        <f>VLOOKUP($L130,TABLE!$I$3:$O$13,N$2,FALSE)/VLOOKUP($M130,TABLE!$I$3:$O$13,N$2,FALSE)*F130</f>
        <v>1.35</v>
      </c>
      <c r="O130" s="51">
        <f>VLOOKUP($L130,TABLE!$I$3:$O$13,O$2,FALSE)/VLOOKUP($M130,TABLE!$I$3:$O$13,O$2,FALSE)*G130</f>
        <v>1.21</v>
      </c>
      <c r="P130" s="51">
        <f>VLOOKUP($L130,TABLE!$I$3:$O$13,P$2,FALSE)/VLOOKUP($M130,TABLE!$I$3:$O$13,P$2,FALSE)*H130</f>
        <v>1.21</v>
      </c>
      <c r="Q130" s="51">
        <f>VLOOKUP($L130,TABLE!$I$3:$O$13,Q$2,FALSE)/VLOOKUP($M130,TABLE!$I$3:$O$13,Q$2,FALSE)*I130</f>
        <v>1.27</v>
      </c>
      <c r="R130" s="51">
        <f>VLOOKUP($L130,TABLE!$I$3:$O$13,R$2,FALSE)/VLOOKUP($M130,TABLE!$I$3:$O$13,R$2,FALSE)*J130</f>
        <v>1.19</v>
      </c>
    </row>
    <row r="131" spans="2:18">
      <c r="B131" t="s">
        <v>19</v>
      </c>
      <c r="C131" t="s">
        <v>124</v>
      </c>
      <c r="D131" t="s">
        <v>42</v>
      </c>
      <c r="E131" t="s">
        <v>337</v>
      </c>
      <c r="F131" s="51">
        <v>9.8000000000000004E-2</v>
      </c>
      <c r="G131" s="51">
        <v>8.5999999999999993E-2</v>
      </c>
      <c r="H131" s="51">
        <v>8.5000000000000006E-2</v>
      </c>
      <c r="I131" s="51">
        <v>8.2000000000000003E-2</v>
      </c>
      <c r="J131" s="51">
        <v>8.4000000000000005E-2</v>
      </c>
      <c r="L131" t="str">
        <f>VLOOKUP(B131,TABLE!D:E,2,FALSE)</f>
        <v>USD</v>
      </c>
      <c r="M131" t="str">
        <f t="shared" si="1"/>
        <v>USD</v>
      </c>
      <c r="N131" s="51">
        <f>VLOOKUP($L131,TABLE!$I$3:$O$13,N$2,FALSE)/VLOOKUP($M131,TABLE!$I$3:$O$13,N$2,FALSE)*F131</f>
        <v>9.8000000000000004E-2</v>
      </c>
      <c r="O131" s="51">
        <f>VLOOKUP($L131,TABLE!$I$3:$O$13,O$2,FALSE)/VLOOKUP($M131,TABLE!$I$3:$O$13,O$2,FALSE)*G131</f>
        <v>8.5999999999999993E-2</v>
      </c>
      <c r="P131" s="51">
        <f>VLOOKUP($L131,TABLE!$I$3:$O$13,P$2,FALSE)/VLOOKUP($M131,TABLE!$I$3:$O$13,P$2,FALSE)*H131</f>
        <v>8.5000000000000006E-2</v>
      </c>
      <c r="Q131" s="51">
        <f>VLOOKUP($L131,TABLE!$I$3:$O$13,Q$2,FALSE)/VLOOKUP($M131,TABLE!$I$3:$O$13,Q$2,FALSE)*I131</f>
        <v>8.2000000000000003E-2</v>
      </c>
      <c r="R131" s="51">
        <f>VLOOKUP($L131,TABLE!$I$3:$O$13,R$2,FALSE)/VLOOKUP($M131,TABLE!$I$3:$O$13,R$2,FALSE)*J131</f>
        <v>8.4000000000000005E-2</v>
      </c>
    </row>
    <row r="132" spans="2:18">
      <c r="B132" t="s">
        <v>19</v>
      </c>
      <c r="C132" t="s">
        <v>124</v>
      </c>
      <c r="D132" t="s">
        <v>145</v>
      </c>
      <c r="E132" t="s">
        <v>338</v>
      </c>
      <c r="F132" s="51"/>
      <c r="G132" s="51"/>
      <c r="H132" s="51"/>
      <c r="I132" s="51"/>
      <c r="J132" s="51"/>
      <c r="L132" t="str">
        <f>VLOOKUP(B132,TABLE!D:E,2,FALSE)</f>
        <v>USD</v>
      </c>
      <c r="M132" t="str">
        <f t="shared" si="1"/>
        <v>USD</v>
      </c>
      <c r="N132" s="51">
        <f>VLOOKUP($L132,TABLE!$I$3:$O$13,N$2,FALSE)/VLOOKUP($M132,TABLE!$I$3:$O$13,N$2,FALSE)*F132</f>
        <v>0</v>
      </c>
      <c r="O132" s="51">
        <f>VLOOKUP($L132,TABLE!$I$3:$O$13,O$2,FALSE)/VLOOKUP($M132,TABLE!$I$3:$O$13,O$2,FALSE)*G132</f>
        <v>0</v>
      </c>
      <c r="P132" s="51">
        <f>VLOOKUP($L132,TABLE!$I$3:$O$13,P$2,FALSE)/VLOOKUP($M132,TABLE!$I$3:$O$13,P$2,FALSE)*H132</f>
        <v>0</v>
      </c>
      <c r="Q132" s="51">
        <f>VLOOKUP($L132,TABLE!$I$3:$O$13,Q$2,FALSE)/VLOOKUP($M132,TABLE!$I$3:$O$13,Q$2,FALSE)*I132</f>
        <v>0</v>
      </c>
      <c r="R132" s="51">
        <f>VLOOKUP($L132,TABLE!$I$3:$O$13,R$2,FALSE)/VLOOKUP($M132,TABLE!$I$3:$O$13,R$2,FALSE)*J132</f>
        <v>0</v>
      </c>
    </row>
    <row r="133" spans="2:18">
      <c r="B133" t="s">
        <v>19</v>
      </c>
      <c r="C133" t="s">
        <v>124</v>
      </c>
      <c r="D133" t="s">
        <v>36</v>
      </c>
      <c r="E133" t="s">
        <v>339</v>
      </c>
      <c r="F133" s="51">
        <v>5.07</v>
      </c>
      <c r="G133" s="51">
        <v>6.15</v>
      </c>
      <c r="H133" s="51">
        <v>7.47</v>
      </c>
      <c r="I133" s="51">
        <v>8.2100000000000009</v>
      </c>
      <c r="J133" s="51">
        <v>7.49</v>
      </c>
      <c r="L133" t="str">
        <f>VLOOKUP(B133,TABLE!D:E,2,FALSE)</f>
        <v>USD</v>
      </c>
      <c r="M133" t="str">
        <f t="shared" ref="M133:M196" si="2">IF(M$1="LC",L133,M$1)</f>
        <v>USD</v>
      </c>
      <c r="N133" s="51">
        <f>VLOOKUP($L133,TABLE!$I$3:$O$13,N$2,FALSE)/VLOOKUP($M133,TABLE!$I$3:$O$13,N$2,FALSE)*F133</f>
        <v>5.07</v>
      </c>
      <c r="O133" s="51">
        <f>VLOOKUP($L133,TABLE!$I$3:$O$13,O$2,FALSE)/VLOOKUP($M133,TABLE!$I$3:$O$13,O$2,FALSE)*G133</f>
        <v>6.15</v>
      </c>
      <c r="P133" s="51">
        <f>VLOOKUP($L133,TABLE!$I$3:$O$13,P$2,FALSE)/VLOOKUP($M133,TABLE!$I$3:$O$13,P$2,FALSE)*H133</f>
        <v>7.47</v>
      </c>
      <c r="Q133" s="51">
        <f>VLOOKUP($L133,TABLE!$I$3:$O$13,Q$2,FALSE)/VLOOKUP($M133,TABLE!$I$3:$O$13,Q$2,FALSE)*I133</f>
        <v>8.2100000000000009</v>
      </c>
      <c r="R133" s="51">
        <f>VLOOKUP($L133,TABLE!$I$3:$O$13,R$2,FALSE)/VLOOKUP($M133,TABLE!$I$3:$O$13,R$2,FALSE)*J133</f>
        <v>7.49</v>
      </c>
    </row>
    <row r="134" spans="2:18">
      <c r="B134" t="s">
        <v>19</v>
      </c>
      <c r="C134" t="s">
        <v>124</v>
      </c>
      <c r="D134" t="s">
        <v>38</v>
      </c>
      <c r="E134" t="s">
        <v>340</v>
      </c>
      <c r="F134" s="51">
        <v>1.42</v>
      </c>
      <c r="G134" s="51">
        <v>1.91</v>
      </c>
      <c r="H134" s="51">
        <v>2.2999999999999998</v>
      </c>
      <c r="I134" s="51">
        <v>2.4700000000000002</v>
      </c>
      <c r="J134" s="51">
        <v>2.0499999999999998</v>
      </c>
      <c r="L134" t="str">
        <f>VLOOKUP(B134,TABLE!D:E,2,FALSE)</f>
        <v>USD</v>
      </c>
      <c r="M134" t="str">
        <f t="shared" si="2"/>
        <v>USD</v>
      </c>
      <c r="N134" s="51">
        <f>VLOOKUP($L134,TABLE!$I$3:$O$13,N$2,FALSE)/VLOOKUP($M134,TABLE!$I$3:$O$13,N$2,FALSE)*F134</f>
        <v>1.42</v>
      </c>
      <c r="O134" s="51">
        <f>VLOOKUP($L134,TABLE!$I$3:$O$13,O$2,FALSE)/VLOOKUP($M134,TABLE!$I$3:$O$13,O$2,FALSE)*G134</f>
        <v>1.91</v>
      </c>
      <c r="P134" s="51">
        <f>VLOOKUP($L134,TABLE!$I$3:$O$13,P$2,FALSE)/VLOOKUP($M134,TABLE!$I$3:$O$13,P$2,FALSE)*H134</f>
        <v>2.2999999999999998</v>
      </c>
      <c r="Q134" s="51">
        <f>VLOOKUP($L134,TABLE!$I$3:$O$13,Q$2,FALSE)/VLOOKUP($M134,TABLE!$I$3:$O$13,Q$2,FALSE)*I134</f>
        <v>2.4700000000000002</v>
      </c>
      <c r="R134" s="51">
        <f>VLOOKUP($L134,TABLE!$I$3:$O$13,R$2,FALSE)/VLOOKUP($M134,TABLE!$I$3:$O$13,R$2,FALSE)*J134</f>
        <v>2.0499999999999998</v>
      </c>
    </row>
    <row r="135" spans="2:18">
      <c r="B135" t="s">
        <v>19</v>
      </c>
      <c r="C135" t="s">
        <v>124</v>
      </c>
      <c r="D135" t="s">
        <v>40</v>
      </c>
      <c r="E135" t="s">
        <v>341</v>
      </c>
      <c r="F135" s="51">
        <v>3.65</v>
      </c>
      <c r="G135" s="51">
        <v>4.25</v>
      </c>
      <c r="H135" s="51">
        <v>5.17</v>
      </c>
      <c r="I135" s="51">
        <v>5.74</v>
      </c>
      <c r="J135" s="51">
        <v>5.44</v>
      </c>
      <c r="L135" t="str">
        <f>VLOOKUP(B135,TABLE!D:E,2,FALSE)</f>
        <v>USD</v>
      </c>
      <c r="M135" t="str">
        <f t="shared" si="2"/>
        <v>USD</v>
      </c>
      <c r="N135" s="51">
        <f>VLOOKUP($L135,TABLE!$I$3:$O$13,N$2,FALSE)/VLOOKUP($M135,TABLE!$I$3:$O$13,N$2,FALSE)*F135</f>
        <v>3.65</v>
      </c>
      <c r="O135" s="51">
        <f>VLOOKUP($L135,TABLE!$I$3:$O$13,O$2,FALSE)/VLOOKUP($M135,TABLE!$I$3:$O$13,O$2,FALSE)*G135</f>
        <v>4.25</v>
      </c>
      <c r="P135" s="51">
        <f>VLOOKUP($L135,TABLE!$I$3:$O$13,P$2,FALSE)/VLOOKUP($M135,TABLE!$I$3:$O$13,P$2,FALSE)*H135</f>
        <v>5.17</v>
      </c>
      <c r="Q135" s="51">
        <f>VLOOKUP($L135,TABLE!$I$3:$O$13,Q$2,FALSE)/VLOOKUP($M135,TABLE!$I$3:$O$13,Q$2,FALSE)*I135</f>
        <v>5.74</v>
      </c>
      <c r="R135" s="51">
        <f>VLOOKUP($L135,TABLE!$I$3:$O$13,R$2,FALSE)/VLOOKUP($M135,TABLE!$I$3:$O$13,R$2,FALSE)*J135</f>
        <v>5.44</v>
      </c>
    </row>
    <row r="136" spans="2:18">
      <c r="B136" t="s">
        <v>19</v>
      </c>
      <c r="C136" t="s">
        <v>124</v>
      </c>
      <c r="D136" t="s">
        <v>46</v>
      </c>
      <c r="E136" t="s">
        <v>342</v>
      </c>
      <c r="F136" s="51">
        <v>0.56899999999999995</v>
      </c>
      <c r="G136" s="51">
        <v>3.75</v>
      </c>
      <c r="H136" s="51">
        <v>6.73</v>
      </c>
      <c r="I136" s="51">
        <v>8.24</v>
      </c>
      <c r="J136" s="51">
        <v>5.13</v>
      </c>
      <c r="L136" t="str">
        <f>VLOOKUP(B136,TABLE!D:E,2,FALSE)</f>
        <v>USD</v>
      </c>
      <c r="M136" t="str">
        <f t="shared" si="2"/>
        <v>USD</v>
      </c>
      <c r="N136" s="51">
        <f>VLOOKUP($L136,TABLE!$I$3:$O$13,N$2,FALSE)/VLOOKUP($M136,TABLE!$I$3:$O$13,N$2,FALSE)*F136</f>
        <v>0.56899999999999995</v>
      </c>
      <c r="O136" s="51">
        <f>VLOOKUP($L136,TABLE!$I$3:$O$13,O$2,FALSE)/VLOOKUP($M136,TABLE!$I$3:$O$13,O$2,FALSE)*G136</f>
        <v>3.75</v>
      </c>
      <c r="P136" s="51">
        <f>VLOOKUP($L136,TABLE!$I$3:$O$13,P$2,FALSE)/VLOOKUP($M136,TABLE!$I$3:$O$13,P$2,FALSE)*H136</f>
        <v>6.73</v>
      </c>
      <c r="Q136" s="51">
        <f>VLOOKUP($L136,TABLE!$I$3:$O$13,Q$2,FALSE)/VLOOKUP($M136,TABLE!$I$3:$O$13,Q$2,FALSE)*I136</f>
        <v>8.24</v>
      </c>
      <c r="R136" s="51">
        <f>VLOOKUP($L136,TABLE!$I$3:$O$13,R$2,FALSE)/VLOOKUP($M136,TABLE!$I$3:$O$13,R$2,FALSE)*J136</f>
        <v>5.13</v>
      </c>
    </row>
    <row r="137" spans="2:18">
      <c r="B137" t="s">
        <v>4</v>
      </c>
      <c r="C137" t="s">
        <v>124</v>
      </c>
      <c r="D137" t="s">
        <v>9</v>
      </c>
      <c r="E137" t="s">
        <v>343</v>
      </c>
      <c r="F137" s="51">
        <v>4.84</v>
      </c>
      <c r="G137" s="51">
        <v>4.0199999999999996</v>
      </c>
      <c r="H137" s="51">
        <v>4.43</v>
      </c>
      <c r="I137" s="51">
        <v>6.12</v>
      </c>
      <c r="J137" s="51">
        <v>5.13</v>
      </c>
      <c r="L137" t="str">
        <f>VLOOKUP(B137,TABLE!D:E,2,FALSE)</f>
        <v>USD</v>
      </c>
      <c r="M137" t="str">
        <f t="shared" si="2"/>
        <v>USD</v>
      </c>
      <c r="N137" s="51">
        <f>VLOOKUP($L137,TABLE!$I$3:$O$13,N$2,FALSE)/VLOOKUP($M137,TABLE!$I$3:$O$13,N$2,FALSE)*F137</f>
        <v>4.84</v>
      </c>
      <c r="O137" s="51">
        <f>VLOOKUP($L137,TABLE!$I$3:$O$13,O$2,FALSE)/VLOOKUP($M137,TABLE!$I$3:$O$13,O$2,FALSE)*G137</f>
        <v>4.0199999999999996</v>
      </c>
      <c r="P137" s="51">
        <f>VLOOKUP($L137,TABLE!$I$3:$O$13,P$2,FALSE)/VLOOKUP($M137,TABLE!$I$3:$O$13,P$2,FALSE)*H137</f>
        <v>4.43</v>
      </c>
      <c r="Q137" s="51">
        <f>VLOOKUP($L137,TABLE!$I$3:$O$13,Q$2,FALSE)/VLOOKUP($M137,TABLE!$I$3:$O$13,Q$2,FALSE)*I137</f>
        <v>6.12</v>
      </c>
      <c r="R137" s="51">
        <f>VLOOKUP($L137,TABLE!$I$3:$O$13,R$2,FALSE)/VLOOKUP($M137,TABLE!$I$3:$O$13,R$2,FALSE)*J137</f>
        <v>5.13</v>
      </c>
    </row>
    <row r="138" spans="2:18">
      <c r="B138" t="s">
        <v>4</v>
      </c>
      <c r="C138" t="s">
        <v>124</v>
      </c>
      <c r="D138" t="s">
        <v>11</v>
      </c>
      <c r="E138" t="s">
        <v>344</v>
      </c>
      <c r="F138" s="51">
        <v>2.66</v>
      </c>
      <c r="G138" s="51">
        <v>3.5</v>
      </c>
      <c r="H138" s="51">
        <v>3.34</v>
      </c>
      <c r="I138" s="51">
        <v>3.86</v>
      </c>
      <c r="J138" s="51">
        <v>3.76</v>
      </c>
      <c r="L138" t="str">
        <f>VLOOKUP(B138,TABLE!D:E,2,FALSE)</f>
        <v>USD</v>
      </c>
      <c r="M138" t="str">
        <f t="shared" si="2"/>
        <v>USD</v>
      </c>
      <c r="N138" s="51">
        <f>VLOOKUP($L138,TABLE!$I$3:$O$13,N$2,FALSE)/VLOOKUP($M138,TABLE!$I$3:$O$13,N$2,FALSE)*F138</f>
        <v>2.66</v>
      </c>
      <c r="O138" s="51">
        <f>VLOOKUP($L138,TABLE!$I$3:$O$13,O$2,FALSE)/VLOOKUP($M138,TABLE!$I$3:$O$13,O$2,FALSE)*G138</f>
        <v>3.5</v>
      </c>
      <c r="P138" s="51">
        <f>VLOOKUP($L138,TABLE!$I$3:$O$13,P$2,FALSE)/VLOOKUP($M138,TABLE!$I$3:$O$13,P$2,FALSE)*H138</f>
        <v>3.34</v>
      </c>
      <c r="Q138" s="51">
        <f>VLOOKUP($L138,TABLE!$I$3:$O$13,Q$2,FALSE)/VLOOKUP($M138,TABLE!$I$3:$O$13,Q$2,FALSE)*I138</f>
        <v>3.86</v>
      </c>
      <c r="R138" s="51">
        <f>VLOOKUP($L138,TABLE!$I$3:$O$13,R$2,FALSE)/VLOOKUP($M138,TABLE!$I$3:$O$13,R$2,FALSE)*J138</f>
        <v>3.76</v>
      </c>
    </row>
    <row r="139" spans="2:18">
      <c r="B139" t="s">
        <v>4</v>
      </c>
      <c r="C139" t="s">
        <v>124</v>
      </c>
      <c r="D139" t="s">
        <v>13</v>
      </c>
      <c r="E139" t="s">
        <v>345</v>
      </c>
      <c r="F139" s="51">
        <v>2.4</v>
      </c>
      <c r="G139" s="51">
        <v>3.06</v>
      </c>
      <c r="H139" s="51">
        <v>4.37</v>
      </c>
      <c r="I139" s="51">
        <v>5.17</v>
      </c>
      <c r="J139" s="51">
        <v>4.93</v>
      </c>
      <c r="L139" t="str">
        <f>VLOOKUP(B139,TABLE!D:E,2,FALSE)</f>
        <v>USD</v>
      </c>
      <c r="M139" t="str">
        <f t="shared" si="2"/>
        <v>USD</v>
      </c>
      <c r="N139" s="51">
        <f>VLOOKUP($L139,TABLE!$I$3:$O$13,N$2,FALSE)/VLOOKUP($M139,TABLE!$I$3:$O$13,N$2,FALSE)*F139</f>
        <v>2.4</v>
      </c>
      <c r="O139" s="51">
        <f>VLOOKUP($L139,TABLE!$I$3:$O$13,O$2,FALSE)/VLOOKUP($M139,TABLE!$I$3:$O$13,O$2,FALSE)*G139</f>
        <v>3.06</v>
      </c>
      <c r="P139" s="51">
        <f>VLOOKUP($L139,TABLE!$I$3:$O$13,P$2,FALSE)/VLOOKUP($M139,TABLE!$I$3:$O$13,P$2,FALSE)*H139</f>
        <v>4.37</v>
      </c>
      <c r="Q139" s="51">
        <f>VLOOKUP($L139,TABLE!$I$3:$O$13,Q$2,FALSE)/VLOOKUP($M139,TABLE!$I$3:$O$13,Q$2,FALSE)*I139</f>
        <v>5.17</v>
      </c>
      <c r="R139" s="51">
        <f>VLOOKUP($L139,TABLE!$I$3:$O$13,R$2,FALSE)/VLOOKUP($M139,TABLE!$I$3:$O$13,R$2,FALSE)*J139</f>
        <v>4.93</v>
      </c>
    </row>
    <row r="140" spans="2:18">
      <c r="B140" t="s">
        <v>4</v>
      </c>
      <c r="C140" t="s">
        <v>124</v>
      </c>
      <c r="D140" t="s">
        <v>15</v>
      </c>
      <c r="E140" t="s">
        <v>346</v>
      </c>
      <c r="F140" s="51">
        <v>10.76</v>
      </c>
      <c r="G140" s="51">
        <v>11.51</v>
      </c>
      <c r="H140" s="51">
        <v>13.48</v>
      </c>
      <c r="I140" s="51">
        <v>16.940000000000001</v>
      </c>
      <c r="J140" s="51">
        <v>15.32</v>
      </c>
      <c r="L140" t="str">
        <f>VLOOKUP(B140,TABLE!D:E,2,FALSE)</f>
        <v>USD</v>
      </c>
      <c r="M140" t="str">
        <f t="shared" si="2"/>
        <v>USD</v>
      </c>
      <c r="N140" s="51">
        <f>VLOOKUP($L140,TABLE!$I$3:$O$13,N$2,FALSE)/VLOOKUP($M140,TABLE!$I$3:$O$13,N$2,FALSE)*F140</f>
        <v>10.76</v>
      </c>
      <c r="O140" s="51">
        <f>VLOOKUP($L140,TABLE!$I$3:$O$13,O$2,FALSE)/VLOOKUP($M140,TABLE!$I$3:$O$13,O$2,FALSE)*G140</f>
        <v>11.51</v>
      </c>
      <c r="P140" s="51">
        <f>VLOOKUP($L140,TABLE!$I$3:$O$13,P$2,FALSE)/VLOOKUP($M140,TABLE!$I$3:$O$13,P$2,FALSE)*H140</f>
        <v>13.48</v>
      </c>
      <c r="Q140" s="51">
        <f>VLOOKUP($L140,TABLE!$I$3:$O$13,Q$2,FALSE)/VLOOKUP($M140,TABLE!$I$3:$O$13,Q$2,FALSE)*I140</f>
        <v>16.940000000000001</v>
      </c>
      <c r="R140" s="51">
        <f>VLOOKUP($L140,TABLE!$I$3:$O$13,R$2,FALSE)/VLOOKUP($M140,TABLE!$I$3:$O$13,R$2,FALSE)*J140</f>
        <v>15.32</v>
      </c>
    </row>
    <row r="141" spans="2:18">
      <c r="B141" t="s">
        <v>4</v>
      </c>
      <c r="C141" t="s">
        <v>124</v>
      </c>
      <c r="D141" t="s">
        <v>18</v>
      </c>
      <c r="E141" t="s">
        <v>347</v>
      </c>
      <c r="F141" s="51">
        <v>41.13</v>
      </c>
      <c r="G141" s="51">
        <v>43.27</v>
      </c>
      <c r="H141" s="51">
        <v>48.21</v>
      </c>
      <c r="I141" s="51">
        <v>56.27</v>
      </c>
      <c r="J141" s="51">
        <v>59.52</v>
      </c>
      <c r="L141" t="str">
        <f>VLOOKUP(B141,TABLE!D:E,2,FALSE)</f>
        <v>USD</v>
      </c>
      <c r="M141" t="str">
        <f t="shared" si="2"/>
        <v>USD</v>
      </c>
      <c r="N141" s="51">
        <f>VLOOKUP($L141,TABLE!$I$3:$O$13,N$2,FALSE)/VLOOKUP($M141,TABLE!$I$3:$O$13,N$2,FALSE)*F141</f>
        <v>41.13</v>
      </c>
      <c r="O141" s="51">
        <f>VLOOKUP($L141,TABLE!$I$3:$O$13,O$2,FALSE)/VLOOKUP($M141,TABLE!$I$3:$O$13,O$2,FALSE)*G141</f>
        <v>43.27</v>
      </c>
      <c r="P141" s="51">
        <f>VLOOKUP($L141,TABLE!$I$3:$O$13,P$2,FALSE)/VLOOKUP($M141,TABLE!$I$3:$O$13,P$2,FALSE)*H141</f>
        <v>48.21</v>
      </c>
      <c r="Q141" s="51">
        <f>VLOOKUP($L141,TABLE!$I$3:$O$13,Q$2,FALSE)/VLOOKUP($M141,TABLE!$I$3:$O$13,Q$2,FALSE)*I141</f>
        <v>56.27</v>
      </c>
      <c r="R141" s="51">
        <f>VLOOKUP($L141,TABLE!$I$3:$O$13,R$2,FALSE)/VLOOKUP($M141,TABLE!$I$3:$O$13,R$2,FALSE)*J141</f>
        <v>59.52</v>
      </c>
    </row>
    <row r="142" spans="2:18">
      <c r="B142" t="s">
        <v>4</v>
      </c>
      <c r="C142" t="s">
        <v>124</v>
      </c>
      <c r="D142" t="s">
        <v>21</v>
      </c>
      <c r="E142" t="s">
        <v>348</v>
      </c>
      <c r="F142" s="51">
        <v>12.59</v>
      </c>
      <c r="G142" s="51">
        <v>14.22</v>
      </c>
      <c r="H142" s="51">
        <v>17.55</v>
      </c>
      <c r="I142" s="51">
        <v>19.09</v>
      </c>
      <c r="J142" s="51">
        <v>21.98</v>
      </c>
      <c r="L142" t="str">
        <f>VLOOKUP(B142,TABLE!D:E,2,FALSE)</f>
        <v>USD</v>
      </c>
      <c r="M142" t="str">
        <f t="shared" si="2"/>
        <v>USD</v>
      </c>
      <c r="N142" s="51">
        <f>VLOOKUP($L142,TABLE!$I$3:$O$13,N$2,FALSE)/VLOOKUP($M142,TABLE!$I$3:$O$13,N$2,FALSE)*F142</f>
        <v>12.59</v>
      </c>
      <c r="O142" s="51">
        <f>VLOOKUP($L142,TABLE!$I$3:$O$13,O$2,FALSE)/VLOOKUP($M142,TABLE!$I$3:$O$13,O$2,FALSE)*G142</f>
        <v>14.22</v>
      </c>
      <c r="P142" s="51">
        <f>VLOOKUP($L142,TABLE!$I$3:$O$13,P$2,FALSE)/VLOOKUP($M142,TABLE!$I$3:$O$13,P$2,FALSE)*H142</f>
        <v>17.55</v>
      </c>
      <c r="Q142" s="51">
        <f>VLOOKUP($L142,TABLE!$I$3:$O$13,Q$2,FALSE)/VLOOKUP($M142,TABLE!$I$3:$O$13,Q$2,FALSE)*I142</f>
        <v>19.09</v>
      </c>
      <c r="R142" s="51">
        <f>VLOOKUP($L142,TABLE!$I$3:$O$13,R$2,FALSE)/VLOOKUP($M142,TABLE!$I$3:$O$13,R$2,FALSE)*J142</f>
        <v>21.98</v>
      </c>
    </row>
    <row r="143" spans="2:18">
      <c r="B143" t="s">
        <v>4</v>
      </c>
      <c r="C143" t="s">
        <v>124</v>
      </c>
      <c r="D143" t="s">
        <v>20</v>
      </c>
      <c r="E143" t="s">
        <v>349</v>
      </c>
      <c r="F143" s="51">
        <v>1.1499999999999999</v>
      </c>
      <c r="G143" s="51">
        <v>2.0299999999999998</v>
      </c>
      <c r="H143" s="51">
        <v>2.2799999999999998</v>
      </c>
      <c r="I143" s="51">
        <v>2.42</v>
      </c>
      <c r="J143" s="51">
        <v>2.37</v>
      </c>
      <c r="L143" t="str">
        <f>VLOOKUP(B143,TABLE!D:E,2,FALSE)</f>
        <v>USD</v>
      </c>
      <c r="M143" t="str">
        <f t="shared" si="2"/>
        <v>USD</v>
      </c>
      <c r="N143" s="51">
        <f>VLOOKUP($L143,TABLE!$I$3:$O$13,N$2,FALSE)/VLOOKUP($M143,TABLE!$I$3:$O$13,N$2,FALSE)*F143</f>
        <v>1.1499999999999999</v>
      </c>
      <c r="O143" s="51">
        <f>VLOOKUP($L143,TABLE!$I$3:$O$13,O$2,FALSE)/VLOOKUP($M143,TABLE!$I$3:$O$13,O$2,FALSE)*G143</f>
        <v>2.0299999999999998</v>
      </c>
      <c r="P143" s="51">
        <f>VLOOKUP($L143,TABLE!$I$3:$O$13,P$2,FALSE)/VLOOKUP($M143,TABLE!$I$3:$O$13,P$2,FALSE)*H143</f>
        <v>2.2799999999999998</v>
      </c>
      <c r="Q143" s="51">
        <f>VLOOKUP($L143,TABLE!$I$3:$O$13,Q$2,FALSE)/VLOOKUP($M143,TABLE!$I$3:$O$13,Q$2,FALSE)*I143</f>
        <v>2.42</v>
      </c>
      <c r="R143" s="51">
        <f>VLOOKUP($L143,TABLE!$I$3:$O$13,R$2,FALSE)/VLOOKUP($M143,TABLE!$I$3:$O$13,R$2,FALSE)*J143</f>
        <v>2.37</v>
      </c>
    </row>
    <row r="144" spans="2:18">
      <c r="B144" t="s">
        <v>4</v>
      </c>
      <c r="C144" t="s">
        <v>124</v>
      </c>
      <c r="D144" t="s">
        <v>25</v>
      </c>
      <c r="E144" t="s">
        <v>350</v>
      </c>
      <c r="F144" s="51">
        <v>4.82</v>
      </c>
      <c r="G144" s="51">
        <v>6.3</v>
      </c>
      <c r="H144" s="51">
        <v>6.81</v>
      </c>
      <c r="I144" s="51">
        <v>6.86</v>
      </c>
      <c r="J144" s="51">
        <v>10.27</v>
      </c>
      <c r="L144" t="str">
        <f>VLOOKUP(B144,TABLE!D:E,2,FALSE)</f>
        <v>USD</v>
      </c>
      <c r="M144" t="str">
        <f t="shared" si="2"/>
        <v>USD</v>
      </c>
      <c r="N144" s="51">
        <f>VLOOKUP($L144,TABLE!$I$3:$O$13,N$2,FALSE)/VLOOKUP($M144,TABLE!$I$3:$O$13,N$2,FALSE)*F144</f>
        <v>4.82</v>
      </c>
      <c r="O144" s="51">
        <f>VLOOKUP($L144,TABLE!$I$3:$O$13,O$2,FALSE)/VLOOKUP($M144,TABLE!$I$3:$O$13,O$2,FALSE)*G144</f>
        <v>6.3</v>
      </c>
      <c r="P144" s="51">
        <f>VLOOKUP($L144,TABLE!$I$3:$O$13,P$2,FALSE)/VLOOKUP($M144,TABLE!$I$3:$O$13,P$2,FALSE)*H144</f>
        <v>6.81</v>
      </c>
      <c r="Q144" s="51">
        <f>VLOOKUP($L144,TABLE!$I$3:$O$13,Q$2,FALSE)/VLOOKUP($M144,TABLE!$I$3:$O$13,Q$2,FALSE)*I144</f>
        <v>6.86</v>
      </c>
      <c r="R144" s="51">
        <f>VLOOKUP($L144,TABLE!$I$3:$O$13,R$2,FALSE)/VLOOKUP($M144,TABLE!$I$3:$O$13,R$2,FALSE)*J144</f>
        <v>10.27</v>
      </c>
    </row>
    <row r="145" spans="2:18">
      <c r="B145" t="s">
        <v>4</v>
      </c>
      <c r="C145" t="s">
        <v>124</v>
      </c>
      <c r="D145" t="s">
        <v>30</v>
      </c>
      <c r="E145" t="s">
        <v>351</v>
      </c>
      <c r="F145" s="51">
        <v>23.11</v>
      </c>
      <c r="G145" s="51">
        <v>26</v>
      </c>
      <c r="H145" s="51">
        <v>32.01</v>
      </c>
      <c r="I145" s="51">
        <v>36.159999999999997</v>
      </c>
      <c r="J145" s="51">
        <v>37.799999999999997</v>
      </c>
      <c r="L145" t="str">
        <f>VLOOKUP(B145,TABLE!D:E,2,FALSE)</f>
        <v>USD</v>
      </c>
      <c r="M145" t="str">
        <f t="shared" si="2"/>
        <v>USD</v>
      </c>
      <c r="N145" s="51">
        <f>VLOOKUP($L145,TABLE!$I$3:$O$13,N$2,FALSE)/VLOOKUP($M145,TABLE!$I$3:$O$13,N$2,FALSE)*F145</f>
        <v>23.11</v>
      </c>
      <c r="O145" s="51">
        <f>VLOOKUP($L145,TABLE!$I$3:$O$13,O$2,FALSE)/VLOOKUP($M145,TABLE!$I$3:$O$13,O$2,FALSE)*G145</f>
        <v>26</v>
      </c>
      <c r="P145" s="51">
        <f>VLOOKUP($L145,TABLE!$I$3:$O$13,P$2,FALSE)/VLOOKUP($M145,TABLE!$I$3:$O$13,P$2,FALSE)*H145</f>
        <v>32.01</v>
      </c>
      <c r="Q145" s="51">
        <f>VLOOKUP($L145,TABLE!$I$3:$O$13,Q$2,FALSE)/VLOOKUP($M145,TABLE!$I$3:$O$13,Q$2,FALSE)*I145</f>
        <v>36.159999999999997</v>
      </c>
      <c r="R145" s="51">
        <f>VLOOKUP($L145,TABLE!$I$3:$O$13,R$2,FALSE)/VLOOKUP($M145,TABLE!$I$3:$O$13,R$2,FALSE)*J145</f>
        <v>37.799999999999997</v>
      </c>
    </row>
    <row r="146" spans="2:18">
      <c r="B146" t="s">
        <v>4</v>
      </c>
      <c r="C146" t="s">
        <v>124</v>
      </c>
      <c r="D146" t="s">
        <v>34</v>
      </c>
      <c r="E146" t="s">
        <v>352</v>
      </c>
      <c r="F146" s="51">
        <v>6.58</v>
      </c>
      <c r="G146" s="51">
        <v>8.01</v>
      </c>
      <c r="H146" s="51">
        <v>9.5399999999999991</v>
      </c>
      <c r="I146" s="51">
        <v>10.44</v>
      </c>
      <c r="J146" s="51">
        <v>11.25</v>
      </c>
      <c r="L146" t="str">
        <f>VLOOKUP(B146,TABLE!D:E,2,FALSE)</f>
        <v>USD</v>
      </c>
      <c r="M146" t="str">
        <f t="shared" si="2"/>
        <v>USD</v>
      </c>
      <c r="N146" s="51">
        <f>VLOOKUP($L146,TABLE!$I$3:$O$13,N$2,FALSE)/VLOOKUP($M146,TABLE!$I$3:$O$13,N$2,FALSE)*F146</f>
        <v>6.58</v>
      </c>
      <c r="O146" s="51">
        <f>VLOOKUP($L146,TABLE!$I$3:$O$13,O$2,FALSE)/VLOOKUP($M146,TABLE!$I$3:$O$13,O$2,FALSE)*G146</f>
        <v>8.01</v>
      </c>
      <c r="P146" s="51">
        <f>VLOOKUP($L146,TABLE!$I$3:$O$13,P$2,FALSE)/VLOOKUP($M146,TABLE!$I$3:$O$13,P$2,FALSE)*H146</f>
        <v>9.5399999999999991</v>
      </c>
      <c r="Q146" s="51">
        <f>VLOOKUP($L146,TABLE!$I$3:$O$13,Q$2,FALSE)/VLOOKUP($M146,TABLE!$I$3:$O$13,Q$2,FALSE)*I146</f>
        <v>10.44</v>
      </c>
      <c r="R146" s="51">
        <f>VLOOKUP($L146,TABLE!$I$3:$O$13,R$2,FALSE)/VLOOKUP($M146,TABLE!$I$3:$O$13,R$2,FALSE)*J146</f>
        <v>11.25</v>
      </c>
    </row>
    <row r="147" spans="2:18">
      <c r="B147" t="s">
        <v>4</v>
      </c>
      <c r="C147" t="s">
        <v>124</v>
      </c>
      <c r="D147" t="s">
        <v>48</v>
      </c>
      <c r="E147" t="s">
        <v>353</v>
      </c>
      <c r="F147" s="51">
        <v>0.87350000000000005</v>
      </c>
      <c r="G147" s="51">
        <v>1.86</v>
      </c>
      <c r="H147" s="51">
        <v>2.8</v>
      </c>
      <c r="I147" s="51">
        <v>3.06</v>
      </c>
      <c r="J147" s="51">
        <v>3.54</v>
      </c>
      <c r="L147" t="str">
        <f>VLOOKUP(B147,TABLE!D:E,2,FALSE)</f>
        <v>USD</v>
      </c>
      <c r="M147" t="str">
        <f t="shared" si="2"/>
        <v>USD</v>
      </c>
      <c r="N147" s="51">
        <f>VLOOKUP($L147,TABLE!$I$3:$O$13,N$2,FALSE)/VLOOKUP($M147,TABLE!$I$3:$O$13,N$2,FALSE)*F147</f>
        <v>0.87350000000000005</v>
      </c>
      <c r="O147" s="51">
        <f>VLOOKUP($L147,TABLE!$I$3:$O$13,O$2,FALSE)/VLOOKUP($M147,TABLE!$I$3:$O$13,O$2,FALSE)*G147</f>
        <v>1.86</v>
      </c>
      <c r="P147" s="51">
        <f>VLOOKUP($L147,TABLE!$I$3:$O$13,P$2,FALSE)/VLOOKUP($M147,TABLE!$I$3:$O$13,P$2,FALSE)*H147</f>
        <v>2.8</v>
      </c>
      <c r="Q147" s="51">
        <f>VLOOKUP($L147,TABLE!$I$3:$O$13,Q$2,FALSE)/VLOOKUP($M147,TABLE!$I$3:$O$13,Q$2,FALSE)*I147</f>
        <v>3.06</v>
      </c>
      <c r="R147" s="51">
        <f>VLOOKUP($L147,TABLE!$I$3:$O$13,R$2,FALSE)/VLOOKUP($M147,TABLE!$I$3:$O$13,R$2,FALSE)*J147</f>
        <v>3.54</v>
      </c>
    </row>
    <row r="148" spans="2:18">
      <c r="B148" t="s">
        <v>4</v>
      </c>
      <c r="C148" t="s">
        <v>124</v>
      </c>
      <c r="D148" t="s">
        <v>50</v>
      </c>
      <c r="E148" t="s">
        <v>354</v>
      </c>
      <c r="F148" s="51">
        <v>3.7</v>
      </c>
      <c r="G148" s="51">
        <v>4.9000000000000004</v>
      </c>
      <c r="H148" s="51">
        <v>6.06</v>
      </c>
      <c r="I148" s="51">
        <v>6.6</v>
      </c>
      <c r="J148" s="51">
        <v>7.32</v>
      </c>
      <c r="L148" t="str">
        <f>VLOOKUP(B148,TABLE!D:E,2,FALSE)</f>
        <v>USD</v>
      </c>
      <c r="M148" t="str">
        <f t="shared" si="2"/>
        <v>USD</v>
      </c>
      <c r="N148" s="51">
        <f>VLOOKUP($L148,TABLE!$I$3:$O$13,N$2,FALSE)/VLOOKUP($M148,TABLE!$I$3:$O$13,N$2,FALSE)*F148</f>
        <v>3.7</v>
      </c>
      <c r="O148" s="51">
        <f>VLOOKUP($L148,TABLE!$I$3:$O$13,O$2,FALSE)/VLOOKUP($M148,TABLE!$I$3:$O$13,O$2,FALSE)*G148</f>
        <v>4.9000000000000004</v>
      </c>
      <c r="P148" s="51">
        <f>VLOOKUP($L148,TABLE!$I$3:$O$13,P$2,FALSE)/VLOOKUP($M148,TABLE!$I$3:$O$13,P$2,FALSE)*H148</f>
        <v>6.06</v>
      </c>
      <c r="Q148" s="51">
        <f>VLOOKUP($L148,TABLE!$I$3:$O$13,Q$2,FALSE)/VLOOKUP($M148,TABLE!$I$3:$O$13,Q$2,FALSE)*I148</f>
        <v>6.6</v>
      </c>
      <c r="R148" s="51">
        <f>VLOOKUP($L148,TABLE!$I$3:$O$13,R$2,FALSE)/VLOOKUP($M148,TABLE!$I$3:$O$13,R$2,FALSE)*J148</f>
        <v>7.32</v>
      </c>
    </row>
    <row r="149" spans="2:18">
      <c r="B149" t="s">
        <v>4</v>
      </c>
      <c r="C149" t="s">
        <v>124</v>
      </c>
      <c r="D149" t="s">
        <v>44</v>
      </c>
      <c r="E149" t="s">
        <v>355</v>
      </c>
      <c r="F149" s="51">
        <v>1.41</v>
      </c>
      <c r="G149" s="51">
        <v>1.1399999999999999</v>
      </c>
      <c r="H149" s="51">
        <v>0.9264</v>
      </c>
      <c r="I149" s="51">
        <v>1.0900000000000001</v>
      </c>
      <c r="J149" s="51">
        <v>0.62429999999999997</v>
      </c>
      <c r="L149" t="str">
        <f>VLOOKUP(B149,TABLE!D:E,2,FALSE)</f>
        <v>USD</v>
      </c>
      <c r="M149" t="str">
        <f t="shared" si="2"/>
        <v>USD</v>
      </c>
      <c r="N149" s="51">
        <f>VLOOKUP($L149,TABLE!$I$3:$O$13,N$2,FALSE)/VLOOKUP($M149,TABLE!$I$3:$O$13,N$2,FALSE)*F149</f>
        <v>1.41</v>
      </c>
      <c r="O149" s="51">
        <f>VLOOKUP($L149,TABLE!$I$3:$O$13,O$2,FALSE)/VLOOKUP($M149,TABLE!$I$3:$O$13,O$2,FALSE)*G149</f>
        <v>1.1399999999999999</v>
      </c>
      <c r="P149" s="51">
        <f>VLOOKUP($L149,TABLE!$I$3:$O$13,P$2,FALSE)/VLOOKUP($M149,TABLE!$I$3:$O$13,P$2,FALSE)*H149</f>
        <v>0.9264</v>
      </c>
      <c r="Q149" s="51">
        <f>VLOOKUP($L149,TABLE!$I$3:$O$13,Q$2,FALSE)/VLOOKUP($M149,TABLE!$I$3:$O$13,Q$2,FALSE)*I149</f>
        <v>1.0900000000000001</v>
      </c>
      <c r="R149" s="51">
        <f>VLOOKUP($L149,TABLE!$I$3:$O$13,R$2,FALSE)/VLOOKUP($M149,TABLE!$I$3:$O$13,R$2,FALSE)*J149</f>
        <v>0.62429999999999997</v>
      </c>
    </row>
    <row r="150" spans="2:18">
      <c r="B150" t="s">
        <v>4</v>
      </c>
      <c r="C150" t="s">
        <v>124</v>
      </c>
      <c r="D150" t="s">
        <v>42</v>
      </c>
      <c r="E150" t="s">
        <v>356</v>
      </c>
      <c r="F150" s="51">
        <v>0</v>
      </c>
      <c r="G150" s="51">
        <v>0</v>
      </c>
      <c r="H150" s="51">
        <v>0</v>
      </c>
      <c r="I150" s="51">
        <v>0</v>
      </c>
      <c r="J150" s="51">
        <v>0</v>
      </c>
      <c r="L150" t="str">
        <f>VLOOKUP(B150,TABLE!D:E,2,FALSE)</f>
        <v>USD</v>
      </c>
      <c r="M150" t="str">
        <f t="shared" si="2"/>
        <v>USD</v>
      </c>
      <c r="N150" s="51">
        <f>VLOOKUP($L150,TABLE!$I$3:$O$13,N$2,FALSE)/VLOOKUP($M150,TABLE!$I$3:$O$13,N$2,FALSE)*F150</f>
        <v>0</v>
      </c>
      <c r="O150" s="51">
        <f>VLOOKUP($L150,TABLE!$I$3:$O$13,O$2,FALSE)/VLOOKUP($M150,TABLE!$I$3:$O$13,O$2,FALSE)*G150</f>
        <v>0</v>
      </c>
      <c r="P150" s="51">
        <f>VLOOKUP($L150,TABLE!$I$3:$O$13,P$2,FALSE)/VLOOKUP($M150,TABLE!$I$3:$O$13,P$2,FALSE)*H150</f>
        <v>0</v>
      </c>
      <c r="Q150" s="51">
        <f>VLOOKUP($L150,TABLE!$I$3:$O$13,Q$2,FALSE)/VLOOKUP($M150,TABLE!$I$3:$O$13,Q$2,FALSE)*I150</f>
        <v>0</v>
      </c>
      <c r="R150" s="51">
        <f>VLOOKUP($L150,TABLE!$I$3:$O$13,R$2,FALSE)/VLOOKUP($M150,TABLE!$I$3:$O$13,R$2,FALSE)*J150</f>
        <v>0</v>
      </c>
    </row>
    <row r="151" spans="2:18">
      <c r="B151" t="s">
        <v>4</v>
      </c>
      <c r="C151" t="s">
        <v>124</v>
      </c>
      <c r="D151" t="s">
        <v>145</v>
      </c>
      <c r="E151" t="s">
        <v>357</v>
      </c>
      <c r="F151" s="51"/>
      <c r="G151" s="51"/>
      <c r="H151" s="51"/>
      <c r="I151" s="51"/>
      <c r="J151" s="51"/>
      <c r="L151" t="str">
        <f>VLOOKUP(B151,TABLE!D:E,2,FALSE)</f>
        <v>USD</v>
      </c>
      <c r="M151" t="str">
        <f t="shared" si="2"/>
        <v>USD</v>
      </c>
      <c r="N151" s="51">
        <f>VLOOKUP($L151,TABLE!$I$3:$O$13,N$2,FALSE)/VLOOKUP($M151,TABLE!$I$3:$O$13,N$2,FALSE)*F151</f>
        <v>0</v>
      </c>
      <c r="O151" s="51">
        <f>VLOOKUP($L151,TABLE!$I$3:$O$13,O$2,FALSE)/VLOOKUP($M151,TABLE!$I$3:$O$13,O$2,FALSE)*G151</f>
        <v>0</v>
      </c>
      <c r="P151" s="51">
        <f>VLOOKUP($L151,TABLE!$I$3:$O$13,P$2,FALSE)/VLOOKUP($M151,TABLE!$I$3:$O$13,P$2,FALSE)*H151</f>
        <v>0</v>
      </c>
      <c r="Q151" s="51">
        <f>VLOOKUP($L151,TABLE!$I$3:$O$13,Q$2,FALSE)/VLOOKUP($M151,TABLE!$I$3:$O$13,Q$2,FALSE)*I151</f>
        <v>0</v>
      </c>
      <c r="R151" s="51">
        <f>VLOOKUP($L151,TABLE!$I$3:$O$13,R$2,FALSE)/VLOOKUP($M151,TABLE!$I$3:$O$13,R$2,FALSE)*J151</f>
        <v>0</v>
      </c>
    </row>
    <row r="152" spans="2:18">
      <c r="B152" t="s">
        <v>4</v>
      </c>
      <c r="C152" t="s">
        <v>124</v>
      </c>
      <c r="D152" t="s">
        <v>36</v>
      </c>
      <c r="E152" t="s">
        <v>358</v>
      </c>
      <c r="F152" s="51">
        <v>3.76</v>
      </c>
      <c r="G152" s="51">
        <v>4.0199999999999996</v>
      </c>
      <c r="H152" s="51">
        <v>4.3899999999999997</v>
      </c>
      <c r="I152" s="51">
        <v>4.8499999999999996</v>
      </c>
      <c r="J152" s="51">
        <v>5.08</v>
      </c>
      <c r="L152" t="str">
        <f>VLOOKUP(B152,TABLE!D:E,2,FALSE)</f>
        <v>USD</v>
      </c>
      <c r="M152" t="str">
        <f t="shared" si="2"/>
        <v>USD</v>
      </c>
      <c r="N152" s="51">
        <f>VLOOKUP($L152,TABLE!$I$3:$O$13,N$2,FALSE)/VLOOKUP($M152,TABLE!$I$3:$O$13,N$2,FALSE)*F152</f>
        <v>3.76</v>
      </c>
      <c r="O152" s="51">
        <f>VLOOKUP($L152,TABLE!$I$3:$O$13,O$2,FALSE)/VLOOKUP($M152,TABLE!$I$3:$O$13,O$2,FALSE)*G152</f>
        <v>4.0199999999999996</v>
      </c>
      <c r="P152" s="51">
        <f>VLOOKUP($L152,TABLE!$I$3:$O$13,P$2,FALSE)/VLOOKUP($M152,TABLE!$I$3:$O$13,P$2,FALSE)*H152</f>
        <v>4.3899999999999997</v>
      </c>
      <c r="Q152" s="51">
        <f>VLOOKUP($L152,TABLE!$I$3:$O$13,Q$2,FALSE)/VLOOKUP($M152,TABLE!$I$3:$O$13,Q$2,FALSE)*I152</f>
        <v>4.8499999999999996</v>
      </c>
      <c r="R152" s="51">
        <f>VLOOKUP($L152,TABLE!$I$3:$O$13,R$2,FALSE)/VLOOKUP($M152,TABLE!$I$3:$O$13,R$2,FALSE)*J152</f>
        <v>5.08</v>
      </c>
    </row>
    <row r="153" spans="2:18">
      <c r="B153" t="s">
        <v>4</v>
      </c>
      <c r="C153" t="s">
        <v>124</v>
      </c>
      <c r="D153" t="s">
        <v>38</v>
      </c>
      <c r="E153" t="s">
        <v>359</v>
      </c>
      <c r="F153" s="51">
        <v>0.97699999999999998</v>
      </c>
      <c r="G153" s="51">
        <v>1.05</v>
      </c>
      <c r="H153" s="51">
        <v>1.23</v>
      </c>
      <c r="I153" s="51">
        <v>1.43</v>
      </c>
      <c r="J153" s="51">
        <v>1.48</v>
      </c>
      <c r="L153" t="str">
        <f>VLOOKUP(B153,TABLE!D:E,2,FALSE)</f>
        <v>USD</v>
      </c>
      <c r="M153" t="str">
        <f t="shared" si="2"/>
        <v>USD</v>
      </c>
      <c r="N153" s="51">
        <f>VLOOKUP($L153,TABLE!$I$3:$O$13,N$2,FALSE)/VLOOKUP($M153,TABLE!$I$3:$O$13,N$2,FALSE)*F153</f>
        <v>0.97699999999999998</v>
      </c>
      <c r="O153" s="51">
        <f>VLOOKUP($L153,TABLE!$I$3:$O$13,O$2,FALSE)/VLOOKUP($M153,TABLE!$I$3:$O$13,O$2,FALSE)*G153</f>
        <v>1.05</v>
      </c>
      <c r="P153" s="51">
        <f>VLOOKUP($L153,TABLE!$I$3:$O$13,P$2,FALSE)/VLOOKUP($M153,TABLE!$I$3:$O$13,P$2,FALSE)*H153</f>
        <v>1.23</v>
      </c>
      <c r="Q153" s="51">
        <f>VLOOKUP($L153,TABLE!$I$3:$O$13,Q$2,FALSE)/VLOOKUP($M153,TABLE!$I$3:$O$13,Q$2,FALSE)*I153</f>
        <v>1.43</v>
      </c>
      <c r="R153" s="51">
        <f>VLOOKUP($L153,TABLE!$I$3:$O$13,R$2,FALSE)/VLOOKUP($M153,TABLE!$I$3:$O$13,R$2,FALSE)*J153</f>
        <v>1.48</v>
      </c>
    </row>
    <row r="154" spans="2:18">
      <c r="B154" t="s">
        <v>4</v>
      </c>
      <c r="C154" t="s">
        <v>124</v>
      </c>
      <c r="D154" t="s">
        <v>40</v>
      </c>
      <c r="E154" t="s">
        <v>360</v>
      </c>
      <c r="F154" s="51">
        <v>2.78</v>
      </c>
      <c r="G154" s="51">
        <v>2.97</v>
      </c>
      <c r="H154" s="51">
        <v>3.17</v>
      </c>
      <c r="I154" s="51">
        <v>3.42</v>
      </c>
      <c r="J154" s="51">
        <v>3.6</v>
      </c>
      <c r="L154" t="str">
        <f>VLOOKUP(B154,TABLE!D:E,2,FALSE)</f>
        <v>USD</v>
      </c>
      <c r="M154" t="str">
        <f t="shared" si="2"/>
        <v>USD</v>
      </c>
      <c r="N154" s="51">
        <f>VLOOKUP($L154,TABLE!$I$3:$O$13,N$2,FALSE)/VLOOKUP($M154,TABLE!$I$3:$O$13,N$2,FALSE)*F154</f>
        <v>2.78</v>
      </c>
      <c r="O154" s="51">
        <f>VLOOKUP($L154,TABLE!$I$3:$O$13,O$2,FALSE)/VLOOKUP($M154,TABLE!$I$3:$O$13,O$2,FALSE)*G154</f>
        <v>2.97</v>
      </c>
      <c r="P154" s="51">
        <f>VLOOKUP($L154,TABLE!$I$3:$O$13,P$2,FALSE)/VLOOKUP($M154,TABLE!$I$3:$O$13,P$2,FALSE)*H154</f>
        <v>3.17</v>
      </c>
      <c r="Q154" s="51">
        <f>VLOOKUP($L154,TABLE!$I$3:$O$13,Q$2,FALSE)/VLOOKUP($M154,TABLE!$I$3:$O$13,Q$2,FALSE)*I154</f>
        <v>3.42</v>
      </c>
      <c r="R154" s="51">
        <f>VLOOKUP($L154,TABLE!$I$3:$O$13,R$2,FALSE)/VLOOKUP($M154,TABLE!$I$3:$O$13,R$2,FALSE)*J154</f>
        <v>3.6</v>
      </c>
    </row>
    <row r="155" spans="2:18">
      <c r="B155" t="s">
        <v>4</v>
      </c>
      <c r="C155" t="s">
        <v>124</v>
      </c>
      <c r="D155" t="s">
        <v>46</v>
      </c>
      <c r="E155" t="s">
        <v>361</v>
      </c>
      <c r="F155" s="51">
        <v>1.34</v>
      </c>
      <c r="G155" s="51">
        <v>3.03</v>
      </c>
      <c r="H155" s="51">
        <v>4.22</v>
      </c>
      <c r="I155" s="51">
        <v>4.7300000000000004</v>
      </c>
      <c r="J155" s="51">
        <v>5.48</v>
      </c>
      <c r="L155" t="str">
        <f>VLOOKUP(B155,TABLE!D:E,2,FALSE)</f>
        <v>USD</v>
      </c>
      <c r="M155" t="str">
        <f t="shared" si="2"/>
        <v>USD</v>
      </c>
      <c r="N155" s="51">
        <f>VLOOKUP($L155,TABLE!$I$3:$O$13,N$2,FALSE)/VLOOKUP($M155,TABLE!$I$3:$O$13,N$2,FALSE)*F155</f>
        <v>1.34</v>
      </c>
      <c r="O155" s="51">
        <f>VLOOKUP($L155,TABLE!$I$3:$O$13,O$2,FALSE)/VLOOKUP($M155,TABLE!$I$3:$O$13,O$2,FALSE)*G155</f>
        <v>3.03</v>
      </c>
      <c r="P155" s="51">
        <f>VLOOKUP($L155,TABLE!$I$3:$O$13,P$2,FALSE)/VLOOKUP($M155,TABLE!$I$3:$O$13,P$2,FALSE)*H155</f>
        <v>4.22</v>
      </c>
      <c r="Q155" s="51">
        <f>VLOOKUP($L155,TABLE!$I$3:$O$13,Q$2,FALSE)/VLOOKUP($M155,TABLE!$I$3:$O$13,Q$2,FALSE)*I155</f>
        <v>4.7300000000000004</v>
      </c>
      <c r="R155" s="51">
        <f>VLOOKUP($L155,TABLE!$I$3:$O$13,R$2,FALSE)/VLOOKUP($M155,TABLE!$I$3:$O$13,R$2,FALSE)*J155</f>
        <v>5.48</v>
      </c>
    </row>
    <row r="156" spans="2:18">
      <c r="B156" t="s">
        <v>22</v>
      </c>
      <c r="C156" t="s">
        <v>124</v>
      </c>
      <c r="D156" t="s">
        <v>9</v>
      </c>
      <c r="E156" t="s">
        <v>362</v>
      </c>
      <c r="F156" s="51">
        <v>29.16</v>
      </c>
      <c r="G156" s="51">
        <v>55.43</v>
      </c>
      <c r="H156" s="51">
        <v>52.56</v>
      </c>
      <c r="I156" s="51">
        <v>48.94</v>
      </c>
      <c r="J156" s="51">
        <v>46.27</v>
      </c>
      <c r="L156" t="str">
        <f>VLOOKUP(B156,TABLE!D:E,2,FALSE)</f>
        <v>BRL</v>
      </c>
      <c r="M156" t="str">
        <f t="shared" si="2"/>
        <v>USD</v>
      </c>
      <c r="N156" s="51">
        <f>VLOOKUP($L156,TABLE!$I$3:$O$13,N$2,FALSE)/VLOOKUP($M156,TABLE!$I$3:$O$13,N$2,FALSE)*F156</f>
        <v>16.747070985527223</v>
      </c>
      <c r="O156" s="51">
        <f>VLOOKUP($L156,TABLE!$I$3:$O$13,O$2,FALSE)/VLOOKUP($M156,TABLE!$I$3:$O$13,O$2,FALSE)*G156</f>
        <v>33.26731484815749</v>
      </c>
      <c r="P156" s="51">
        <f>VLOOKUP($L156,TABLE!$I$3:$O$13,P$2,FALSE)/VLOOKUP($M156,TABLE!$I$3:$O$13,P$2,FALSE)*H156</f>
        <v>28.020044780893489</v>
      </c>
      <c r="Q156" s="51">
        <f>VLOOKUP($L156,TABLE!$I$3:$O$13,Q$2,FALSE)/VLOOKUP($M156,TABLE!$I$3:$O$13,Q$2,FALSE)*I156</f>
        <v>23.949106924394421</v>
      </c>
      <c r="R156" s="51">
        <f>VLOOKUP($L156,TABLE!$I$3:$O$13,R$2,FALSE)/VLOOKUP($M156,TABLE!$I$3:$O$13,R$2,FALSE)*J156</f>
        <v>19.751558097840007</v>
      </c>
    </row>
    <row r="157" spans="2:18">
      <c r="B157" t="s">
        <v>22</v>
      </c>
      <c r="C157" t="s">
        <v>124</v>
      </c>
      <c r="D157" t="s">
        <v>11</v>
      </c>
      <c r="E157" t="s">
        <v>363</v>
      </c>
      <c r="F157" s="51">
        <v>11.42</v>
      </c>
      <c r="G157" s="51">
        <v>18.07</v>
      </c>
      <c r="H157" s="51">
        <v>22.05</v>
      </c>
      <c r="I157" s="51">
        <v>17.350000000000001</v>
      </c>
      <c r="J157" s="51">
        <v>17.670000000000002</v>
      </c>
      <c r="L157" t="str">
        <f>VLOOKUP(B157,TABLE!D:E,2,FALSE)</f>
        <v>BRL</v>
      </c>
      <c r="M157" t="str">
        <f t="shared" si="2"/>
        <v>USD</v>
      </c>
      <c r="N157" s="51">
        <f>VLOOKUP($L157,TABLE!$I$3:$O$13,N$2,FALSE)/VLOOKUP($M157,TABLE!$I$3:$O$13,N$2,FALSE)*F157</f>
        <v>6.5586951527682062</v>
      </c>
      <c r="O157" s="51">
        <f>VLOOKUP($L157,TABLE!$I$3:$O$13,O$2,FALSE)/VLOOKUP($M157,TABLE!$I$3:$O$13,O$2,FALSE)*G157</f>
        <v>10.845036610250871</v>
      </c>
      <c r="P157" s="51">
        <f>VLOOKUP($L157,TABLE!$I$3:$O$13,P$2,FALSE)/VLOOKUP($M157,TABLE!$I$3:$O$13,P$2,FALSE)*H157</f>
        <v>11.754984539929632</v>
      </c>
      <c r="Q157" s="51">
        <f>VLOOKUP($L157,TABLE!$I$3:$O$13,Q$2,FALSE)/VLOOKUP($M157,TABLE!$I$3:$O$13,Q$2,FALSE)*I157</f>
        <v>8.4903352091999036</v>
      </c>
      <c r="R157" s="51">
        <f>VLOOKUP($L157,TABLE!$I$3:$O$13,R$2,FALSE)/VLOOKUP($M157,TABLE!$I$3:$O$13,R$2,FALSE)*J157</f>
        <v>7.5429010501152574</v>
      </c>
    </row>
    <row r="158" spans="2:18">
      <c r="B158" t="s">
        <v>22</v>
      </c>
      <c r="C158" t="s">
        <v>124</v>
      </c>
      <c r="D158" t="s">
        <v>13</v>
      </c>
      <c r="E158" t="s">
        <v>364</v>
      </c>
      <c r="F158" s="51">
        <v>21.43</v>
      </c>
      <c r="G158" s="51">
        <v>20.98</v>
      </c>
      <c r="H158" s="51">
        <v>29.84</v>
      </c>
      <c r="I158" s="51">
        <v>31.63</v>
      </c>
      <c r="J158" s="51">
        <v>34.92</v>
      </c>
      <c r="L158" t="str">
        <f>VLOOKUP(B158,TABLE!D:E,2,FALSE)</f>
        <v>BRL</v>
      </c>
      <c r="M158" t="str">
        <f t="shared" si="2"/>
        <v>USD</v>
      </c>
      <c r="N158" s="51">
        <f>VLOOKUP($L158,TABLE!$I$3:$O$13,N$2,FALSE)/VLOOKUP($M158,TABLE!$I$3:$O$13,N$2,FALSE)*F158</f>
        <v>12.307603951297954</v>
      </c>
      <c r="O158" s="51">
        <f>VLOOKUP($L158,TABLE!$I$3:$O$13,O$2,FALSE)/VLOOKUP($M158,TABLE!$I$3:$O$13,O$2,FALSE)*G158</f>
        <v>12.59152562717561</v>
      </c>
      <c r="P158" s="51">
        <f>VLOOKUP($L158,TABLE!$I$3:$O$13,P$2,FALSE)/VLOOKUP($M158,TABLE!$I$3:$O$13,P$2,FALSE)*H158</f>
        <v>15.90787930482994</v>
      </c>
      <c r="Q158" s="51">
        <f>VLOOKUP($L158,TABLE!$I$3:$O$13,Q$2,FALSE)/VLOOKUP($M158,TABLE!$I$3:$O$13,Q$2,FALSE)*I158</f>
        <v>15.478345975042819</v>
      </c>
      <c r="R158" s="51">
        <f>VLOOKUP($L158,TABLE!$I$3:$O$13,R$2,FALSE)/VLOOKUP($M158,TABLE!$I$3:$O$13,R$2,FALSE)*J158</f>
        <v>14.906514129599591</v>
      </c>
    </row>
    <row r="159" spans="2:18">
      <c r="B159" t="s">
        <v>22</v>
      </c>
      <c r="C159" t="s">
        <v>124</v>
      </c>
      <c r="D159" t="s">
        <v>15</v>
      </c>
      <c r="E159" t="s">
        <v>365</v>
      </c>
      <c r="F159" s="51">
        <v>74.37</v>
      </c>
      <c r="G159" s="51">
        <v>105.9</v>
      </c>
      <c r="H159" s="51">
        <v>121.16</v>
      </c>
      <c r="I159" s="51">
        <v>118.1</v>
      </c>
      <c r="J159" s="51">
        <v>123.35</v>
      </c>
      <c r="L159" t="str">
        <f>VLOOKUP(B159,TABLE!D:E,2,FALSE)</f>
        <v>BRL</v>
      </c>
      <c r="M159" t="str">
        <f t="shared" si="2"/>
        <v>USD</v>
      </c>
      <c r="N159" s="51">
        <f>VLOOKUP($L159,TABLE!$I$3:$O$13,N$2,FALSE)/VLOOKUP($M159,TABLE!$I$3:$O$13,N$2,FALSE)*F159</f>
        <v>42.711922811853896</v>
      </c>
      <c r="O159" s="51">
        <f>VLOOKUP($L159,TABLE!$I$3:$O$13,O$2,FALSE)/VLOOKUP($M159,TABLE!$I$3:$O$13,O$2,FALSE)*G159</f>
        <v>63.557796182931227</v>
      </c>
      <c r="P159" s="51">
        <f>VLOOKUP($L159,TABLE!$I$3:$O$13,P$2,FALSE)/VLOOKUP($M159,TABLE!$I$3:$O$13,P$2,FALSE)*H159</f>
        <v>64.591107794007897</v>
      </c>
      <c r="Q159" s="51">
        <f>VLOOKUP($L159,TABLE!$I$3:$O$13,Q$2,FALSE)/VLOOKUP($M159,TABLE!$I$3:$O$13,Q$2,FALSE)*I159</f>
        <v>57.793002202104233</v>
      </c>
      <c r="R159" s="51">
        <f>VLOOKUP($L159,TABLE!$I$3:$O$13,R$2,FALSE)/VLOOKUP($M159,TABLE!$I$3:$O$13,R$2,FALSE)*J159</f>
        <v>52.655169469819853</v>
      </c>
    </row>
    <row r="160" spans="2:18">
      <c r="B160" t="s">
        <v>22</v>
      </c>
      <c r="C160" t="s">
        <v>124</v>
      </c>
      <c r="D160" t="s">
        <v>18</v>
      </c>
      <c r="E160" t="s">
        <v>366</v>
      </c>
      <c r="F160" s="51">
        <v>350.42</v>
      </c>
      <c r="G160" s="51">
        <v>516.85</v>
      </c>
      <c r="H160" s="51">
        <v>599.15</v>
      </c>
      <c r="I160" s="51">
        <v>677.72</v>
      </c>
      <c r="J160" s="51">
        <v>752.97</v>
      </c>
      <c r="L160" t="str">
        <f>VLOOKUP(B160,TABLE!D:E,2,FALSE)</f>
        <v>BRL</v>
      </c>
      <c r="M160" t="str">
        <f t="shared" si="2"/>
        <v>USD</v>
      </c>
      <c r="N160" s="51">
        <f>VLOOKUP($L160,TABLE!$I$3:$O$13,N$2,FALSE)/VLOOKUP($M160,TABLE!$I$3:$O$13,N$2,FALSE)*F160</f>
        <v>201.25201010797153</v>
      </c>
      <c r="O160" s="51">
        <f>VLOOKUP($L160,TABLE!$I$3:$O$13,O$2,FALSE)/VLOOKUP($M160,TABLE!$I$3:$O$13,O$2,FALSE)*G160</f>
        <v>310.19685511943351</v>
      </c>
      <c r="P160" s="51">
        <f>VLOOKUP($L160,TABLE!$I$3:$O$13,P$2,FALSE)/VLOOKUP($M160,TABLE!$I$3:$O$13,P$2,FALSE)*H160</f>
        <v>319.41038490244165</v>
      </c>
      <c r="Q160" s="51">
        <f>VLOOKUP($L160,TABLE!$I$3:$O$13,Q$2,FALSE)/VLOOKUP($M160,TABLE!$I$3:$O$13,Q$2,FALSE)*I160</f>
        <v>331.6466846097382</v>
      </c>
      <c r="R160" s="51">
        <f>VLOOKUP($L160,TABLE!$I$3:$O$13,R$2,FALSE)/VLOOKUP($M160,TABLE!$I$3:$O$13,R$2,FALSE)*J160</f>
        <v>321.42491249039529</v>
      </c>
    </row>
    <row r="161" spans="2:18">
      <c r="B161" t="s">
        <v>22</v>
      </c>
      <c r="C161" t="s">
        <v>124</v>
      </c>
      <c r="D161" t="s">
        <v>21</v>
      </c>
      <c r="E161" t="s">
        <v>367</v>
      </c>
      <c r="F161" s="51">
        <v>55.16</v>
      </c>
      <c r="G161" s="51">
        <v>55.95</v>
      </c>
      <c r="H161" s="51">
        <v>68.209999999999994</v>
      </c>
      <c r="I161" s="51">
        <v>69.62</v>
      </c>
      <c r="J161" s="51">
        <v>82.53</v>
      </c>
      <c r="L161" t="str">
        <f>VLOOKUP(B161,TABLE!D:E,2,FALSE)</f>
        <v>BRL</v>
      </c>
      <c r="M161" t="str">
        <f t="shared" si="2"/>
        <v>USD</v>
      </c>
      <c r="N161" s="51">
        <f>VLOOKUP($L161,TABLE!$I$3:$O$13,N$2,FALSE)/VLOOKUP($M161,TABLE!$I$3:$O$13,N$2,FALSE)*F161</f>
        <v>31.679301631059037</v>
      </c>
      <c r="O161" s="51">
        <f>VLOOKUP($L161,TABLE!$I$3:$O$13,O$2,FALSE)/VLOOKUP($M161,TABLE!$I$3:$O$13,O$2,FALSE)*G161</f>
        <v>33.579402232625142</v>
      </c>
      <c r="P161" s="51">
        <f>VLOOKUP($L161,TABLE!$I$3:$O$13,P$2,FALSE)/VLOOKUP($M161,TABLE!$I$3:$O$13,P$2,FALSE)*H161</f>
        <v>36.363151721931978</v>
      </c>
      <c r="Q161" s="51">
        <f>VLOOKUP($L161,TABLE!$I$3:$O$13,Q$2,FALSE)/VLOOKUP($M161,TABLE!$I$3:$O$13,Q$2,FALSE)*I161</f>
        <v>34.06899926596526</v>
      </c>
      <c r="R161" s="51">
        <f>VLOOKUP($L161,TABLE!$I$3:$O$13,R$2,FALSE)/VLOOKUP($M161,TABLE!$I$3:$O$13,R$2,FALSE)*J161</f>
        <v>35.230086228976354</v>
      </c>
    </row>
    <row r="162" spans="2:18">
      <c r="B162" t="s">
        <v>22</v>
      </c>
      <c r="C162" t="s">
        <v>124</v>
      </c>
      <c r="D162" t="s">
        <v>20</v>
      </c>
      <c r="E162" t="s">
        <v>368</v>
      </c>
      <c r="F162" s="51">
        <v>17.079999999999998</v>
      </c>
      <c r="G162" s="51">
        <v>17.37</v>
      </c>
      <c r="H162" s="51">
        <v>22.25</v>
      </c>
      <c r="I162" s="51">
        <v>24.78</v>
      </c>
      <c r="J162" s="51">
        <v>27.92</v>
      </c>
      <c r="L162" t="str">
        <f>VLOOKUP(B162,TABLE!D:E,2,FALSE)</f>
        <v>BRL</v>
      </c>
      <c r="M162" t="str">
        <f t="shared" si="2"/>
        <v>USD</v>
      </c>
      <c r="N162" s="51">
        <f>VLOOKUP($L162,TABLE!$I$3:$O$13,N$2,FALSE)/VLOOKUP($M162,TABLE!$I$3:$O$13,N$2,FALSE)*F162</f>
        <v>9.8093269009878234</v>
      </c>
      <c r="O162" s="51">
        <f>VLOOKUP($L162,TABLE!$I$3:$O$13,O$2,FALSE)/VLOOKUP($M162,TABLE!$I$3:$O$13,O$2,FALSE)*G162</f>
        <v>10.424918977313649</v>
      </c>
      <c r="P162" s="51">
        <f>VLOOKUP($L162,TABLE!$I$3:$O$13,P$2,FALSE)/VLOOKUP($M162,TABLE!$I$3:$O$13,P$2,FALSE)*H162</f>
        <v>11.86160571489498</v>
      </c>
      <c r="Q162" s="51">
        <f>VLOOKUP($L162,TABLE!$I$3:$O$13,Q$2,FALSE)/VLOOKUP($M162,TABLE!$I$3:$O$13,Q$2,FALSE)*I162</f>
        <v>12.126253976021532</v>
      </c>
      <c r="R162" s="51">
        <f>VLOOKUP($L162,TABLE!$I$3:$O$13,R$2,FALSE)/VLOOKUP($M162,TABLE!$I$3:$O$13,R$2,FALSE)*J162</f>
        <v>11.918381285750876</v>
      </c>
    </row>
    <row r="163" spans="2:18">
      <c r="B163" t="s">
        <v>22</v>
      </c>
      <c r="C163" t="s">
        <v>124</v>
      </c>
      <c r="D163" t="s">
        <v>25</v>
      </c>
      <c r="E163" t="s">
        <v>369</v>
      </c>
      <c r="F163" s="51">
        <v>166.9</v>
      </c>
      <c r="G163" s="51">
        <v>309.36</v>
      </c>
      <c r="H163" s="51">
        <v>330.89</v>
      </c>
      <c r="I163" s="51">
        <v>345.43</v>
      </c>
      <c r="J163" s="51">
        <v>349.33</v>
      </c>
      <c r="L163" t="str">
        <f>VLOOKUP(B163,TABLE!D:E,2,FALSE)</f>
        <v>BRL</v>
      </c>
      <c r="M163" t="str">
        <f t="shared" si="2"/>
        <v>USD</v>
      </c>
      <c r="N163" s="51">
        <f>VLOOKUP($L163,TABLE!$I$3:$O$13,N$2,FALSE)/VLOOKUP($M163,TABLE!$I$3:$O$13,N$2,FALSE)*F163</f>
        <v>95.853434413048475</v>
      </c>
      <c r="O163" s="51">
        <f>VLOOKUP($L163,TABLE!$I$3:$O$13,O$2,FALSE)/VLOOKUP($M163,TABLE!$I$3:$O$13,O$2,FALSE)*G163</f>
        <v>185.66798703637022</v>
      </c>
      <c r="P163" s="51">
        <f>VLOOKUP($L163,TABLE!$I$3:$O$13,P$2,FALSE)/VLOOKUP($M163,TABLE!$I$3:$O$13,P$2,FALSE)*H163</f>
        <v>176.3994029214202</v>
      </c>
      <c r="Q163" s="51">
        <f>VLOOKUP($L163,TABLE!$I$3:$O$13,Q$2,FALSE)/VLOOKUP($M163,TABLE!$I$3:$O$13,Q$2,FALSE)*I163</f>
        <v>169.03841448495228</v>
      </c>
      <c r="R163" s="51">
        <f>VLOOKUP($L163,TABLE!$I$3:$O$13,R$2,FALSE)/VLOOKUP($M163,TABLE!$I$3:$O$13,R$2,FALSE)*J163</f>
        <v>149.12063519166736</v>
      </c>
    </row>
    <row r="164" spans="2:18">
      <c r="B164" t="s">
        <v>22</v>
      </c>
      <c r="C164" t="s">
        <v>124</v>
      </c>
      <c r="D164" t="s">
        <v>30</v>
      </c>
      <c r="E164" t="s">
        <v>370</v>
      </c>
      <c r="F164" s="51">
        <v>182.83</v>
      </c>
      <c r="G164" s="51">
        <v>211.84</v>
      </c>
      <c r="H164" s="51">
        <v>244.18</v>
      </c>
      <c r="I164" s="51">
        <v>281.38</v>
      </c>
      <c r="J164" s="51">
        <v>304.89</v>
      </c>
      <c r="L164" t="str">
        <f>VLOOKUP(B164,TABLE!D:E,2,FALSE)</f>
        <v>BRL</v>
      </c>
      <c r="M164" t="str">
        <f t="shared" si="2"/>
        <v>USD</v>
      </c>
      <c r="N164" s="51">
        <f>VLOOKUP($L164,TABLE!$I$3:$O$13,N$2,FALSE)/VLOOKUP($M164,TABLE!$I$3:$O$13,N$2,FALSE)*F164</f>
        <v>105.00229726625317</v>
      </c>
      <c r="O164" s="51">
        <f>VLOOKUP($L164,TABLE!$I$3:$O$13,O$2,FALSE)/VLOOKUP($M164,TABLE!$I$3:$O$13,O$2,FALSE)*G164</f>
        <v>127.13959908774459</v>
      </c>
      <c r="P164" s="51">
        <f>VLOOKUP($L164,TABLE!$I$3:$O$13,P$2,FALSE)/VLOOKUP($M164,TABLE!$I$3:$O$13,P$2,FALSE)*H164</f>
        <v>130.17379251519353</v>
      </c>
      <c r="Q164" s="51">
        <f>VLOOKUP($L164,TABLE!$I$3:$O$13,Q$2,FALSE)/VLOOKUP($M164,TABLE!$I$3:$O$13,Q$2,FALSE)*I164</f>
        <v>137.69513090286273</v>
      </c>
      <c r="R164" s="51">
        <f>VLOOKUP($L164,TABLE!$I$3:$O$13,R$2,FALSE)/VLOOKUP($M164,TABLE!$I$3:$O$13,R$2,FALSE)*J164</f>
        <v>130.15026039443353</v>
      </c>
    </row>
    <row r="165" spans="2:18">
      <c r="B165" t="s">
        <v>22</v>
      </c>
      <c r="C165" t="s">
        <v>124</v>
      </c>
      <c r="D165" t="s">
        <v>34</v>
      </c>
      <c r="E165" t="s">
        <v>371</v>
      </c>
      <c r="F165" s="51">
        <v>68.650000000000006</v>
      </c>
      <c r="G165" s="51">
        <v>70.739999999999995</v>
      </c>
      <c r="H165" s="51">
        <v>71.25</v>
      </c>
      <c r="I165" s="51">
        <v>62.03</v>
      </c>
      <c r="J165" s="51">
        <v>63.62</v>
      </c>
      <c r="L165" t="str">
        <f>VLOOKUP(B165,TABLE!D:E,2,FALSE)</f>
        <v>BRL</v>
      </c>
      <c r="M165" t="str">
        <f t="shared" si="2"/>
        <v>USD</v>
      </c>
      <c r="N165" s="51">
        <f>VLOOKUP($L165,TABLE!$I$3:$O$13,N$2,FALSE)/VLOOKUP($M165,TABLE!$I$3:$O$13,N$2,FALSE)*F165</f>
        <v>39.426832069836898</v>
      </c>
      <c r="O165" s="51">
        <f>VLOOKUP($L165,TABLE!$I$3:$O$13,O$2,FALSE)/VLOOKUP($M165,TABLE!$I$3:$O$13,O$2,FALSE)*G165</f>
        <v>42.455887648541591</v>
      </c>
      <c r="P165" s="51">
        <f>VLOOKUP($L165,TABLE!$I$3:$O$13,P$2,FALSE)/VLOOKUP($M165,TABLE!$I$3:$O$13,P$2,FALSE)*H165</f>
        <v>37.983793581405273</v>
      </c>
      <c r="Q165" s="51">
        <f>VLOOKUP($L165,TABLE!$I$3:$O$13,Q$2,FALSE)/VLOOKUP($M165,TABLE!$I$3:$O$13,Q$2,FALSE)*I165</f>
        <v>30.354783459750429</v>
      </c>
      <c r="R165" s="51">
        <f>VLOOKUP($L165,TABLE!$I$3:$O$13,R$2,FALSE)/VLOOKUP($M165,TABLE!$I$3:$O$13,R$2,FALSE)*J165</f>
        <v>27.157858789379322</v>
      </c>
    </row>
    <row r="166" spans="2:18">
      <c r="B166" t="s">
        <v>22</v>
      </c>
      <c r="C166" t="s">
        <v>124</v>
      </c>
      <c r="D166" t="s">
        <v>48</v>
      </c>
      <c r="E166" t="s">
        <v>372</v>
      </c>
      <c r="F166" s="51">
        <v>30.05</v>
      </c>
      <c r="G166" s="51">
        <v>35.19</v>
      </c>
      <c r="H166" s="51">
        <v>33.31</v>
      </c>
      <c r="I166" s="51">
        <v>21.18</v>
      </c>
      <c r="J166" s="51">
        <v>23.57</v>
      </c>
      <c r="L166" t="str">
        <f>VLOOKUP(B166,TABLE!D:E,2,FALSE)</f>
        <v>BRL</v>
      </c>
      <c r="M166" t="str">
        <f t="shared" si="2"/>
        <v>USD</v>
      </c>
      <c r="N166" s="51">
        <f>VLOOKUP($L166,TABLE!$I$3:$O$13,N$2,FALSE)/VLOOKUP($M166,TABLE!$I$3:$O$13,N$2,FALSE)*F166</f>
        <v>17.258212726855042</v>
      </c>
      <c r="O166" s="51">
        <f>VLOOKUP($L166,TABLE!$I$3:$O$13,O$2,FALSE)/VLOOKUP($M166,TABLE!$I$3:$O$13,O$2,FALSE)*G166</f>
        <v>21.119913575801224</v>
      </c>
      <c r="P166" s="51">
        <f>VLOOKUP($L166,TABLE!$I$3:$O$13,P$2,FALSE)/VLOOKUP($M166,TABLE!$I$3:$O$13,P$2,FALSE)*H166</f>
        <v>17.757756690478733</v>
      </c>
      <c r="Q166" s="51">
        <f>VLOOKUP($L166,TABLE!$I$3:$O$13,Q$2,FALSE)/VLOOKUP($M166,TABLE!$I$3:$O$13,Q$2,FALSE)*I166</f>
        <v>10.364570589674578</v>
      </c>
      <c r="R166" s="51">
        <f>VLOOKUP($L166,TABLE!$I$3:$O$13,R$2,FALSE)/VLOOKUP($M166,TABLE!$I$3:$O$13,R$2,FALSE)*J166</f>
        <v>10.061470161359173</v>
      </c>
    </row>
    <row r="167" spans="2:18">
      <c r="B167" t="s">
        <v>22</v>
      </c>
      <c r="C167" t="s">
        <v>124</v>
      </c>
      <c r="D167" t="s">
        <v>50</v>
      </c>
      <c r="E167" t="s">
        <v>373</v>
      </c>
      <c r="F167" s="51">
        <v>61.18</v>
      </c>
      <c r="G167" s="51">
        <v>60.74</v>
      </c>
      <c r="H167" s="51">
        <v>60.99</v>
      </c>
      <c r="I167" s="51">
        <v>53.19</v>
      </c>
      <c r="J167" s="51">
        <v>58.12</v>
      </c>
      <c r="L167" t="str">
        <f>VLOOKUP(B167,TABLE!D:E,2,FALSE)</f>
        <v>BRL</v>
      </c>
      <c r="M167" t="str">
        <f t="shared" si="2"/>
        <v>USD</v>
      </c>
      <c r="N167" s="51">
        <f>VLOOKUP($L167,TABLE!$I$3:$O$13,N$2,FALSE)/VLOOKUP($M167,TABLE!$I$3:$O$13,N$2,FALSE)*F167</f>
        <v>35.136687342062942</v>
      </c>
      <c r="O167" s="51">
        <f>VLOOKUP($L167,TABLE!$I$3:$O$13,O$2,FALSE)/VLOOKUP($M167,TABLE!$I$3:$O$13,O$2,FALSE)*G167</f>
        <v>36.454207178009845</v>
      </c>
      <c r="P167" s="51">
        <f>VLOOKUP($L167,TABLE!$I$3:$O$13,P$2,FALSE)/VLOOKUP($M167,TABLE!$I$3:$O$13,P$2,FALSE)*H167</f>
        <v>32.514127305682912</v>
      </c>
      <c r="Q167" s="51">
        <f>VLOOKUP($L167,TABLE!$I$3:$O$13,Q$2,FALSE)/VLOOKUP($M167,TABLE!$I$3:$O$13,Q$2,FALSE)*I167</f>
        <v>26.02887203327624</v>
      </c>
      <c r="R167" s="51">
        <f>VLOOKUP($L167,TABLE!$I$3:$O$13,R$2,FALSE)/VLOOKUP($M167,TABLE!$I$3:$O$13,R$2,FALSE)*J167</f>
        <v>24.810040126355329</v>
      </c>
    </row>
    <row r="168" spans="2:18">
      <c r="B168" t="s">
        <v>22</v>
      </c>
      <c r="C168" t="s">
        <v>124</v>
      </c>
      <c r="D168" t="s">
        <v>44</v>
      </c>
      <c r="E168" t="s">
        <v>374</v>
      </c>
      <c r="F168" s="51">
        <v>1.52</v>
      </c>
      <c r="G168" s="51">
        <v>1.49</v>
      </c>
      <c r="H168" s="51">
        <v>0.78500000000000003</v>
      </c>
      <c r="I168" s="51">
        <v>2.64</v>
      </c>
      <c r="J168" s="51">
        <v>3.38</v>
      </c>
      <c r="L168" t="str">
        <f>VLOOKUP(B168,TABLE!D:E,2,FALSE)</f>
        <v>BRL</v>
      </c>
      <c r="M168" t="str">
        <f t="shared" si="2"/>
        <v>USD</v>
      </c>
      <c r="N168" s="51">
        <f>VLOOKUP($L168,TABLE!$I$3:$O$13,N$2,FALSE)/VLOOKUP($M168,TABLE!$I$3:$O$13,N$2,FALSE)*F168</f>
        <v>0.87296117620032165</v>
      </c>
      <c r="O168" s="51">
        <f>VLOOKUP($L168,TABLE!$I$3:$O$13,O$2,FALSE)/VLOOKUP($M168,TABLE!$I$3:$O$13,O$2,FALSE)*G168</f>
        <v>0.89425039010923069</v>
      </c>
      <c r="P168" s="51">
        <f>VLOOKUP($L168,TABLE!$I$3:$O$13,P$2,FALSE)/VLOOKUP($M168,TABLE!$I$3:$O$13,P$2,FALSE)*H168</f>
        <v>0.41848811173899142</v>
      </c>
      <c r="Q168" s="51">
        <f>VLOOKUP($L168,TABLE!$I$3:$O$13,Q$2,FALSE)/VLOOKUP($M168,TABLE!$I$3:$O$13,Q$2,FALSE)*I168</f>
        <v>1.2919011499877662</v>
      </c>
      <c r="R168" s="51">
        <f>VLOOKUP($L168,TABLE!$I$3:$O$13,R$2,FALSE)/VLOOKUP($M168,TABLE!$I$3:$O$13,R$2,FALSE)*J168</f>
        <v>1.4428412874583796</v>
      </c>
    </row>
    <row r="169" spans="2:18">
      <c r="B169" t="s">
        <v>22</v>
      </c>
      <c r="C169" t="s">
        <v>124</v>
      </c>
      <c r="D169" t="s">
        <v>42</v>
      </c>
      <c r="E169" t="s">
        <v>375</v>
      </c>
      <c r="F169" s="51">
        <v>1.39</v>
      </c>
      <c r="G169" s="51">
        <v>2.82</v>
      </c>
      <c r="H169" s="51">
        <v>5.5</v>
      </c>
      <c r="I169" s="51">
        <v>5.18</v>
      </c>
      <c r="J169" s="51">
        <v>2.78</v>
      </c>
      <c r="L169" t="str">
        <f>VLOOKUP(B169,TABLE!D:E,2,FALSE)</f>
        <v>BRL</v>
      </c>
      <c r="M169" t="str">
        <f t="shared" si="2"/>
        <v>USD</v>
      </c>
      <c r="N169" s="51">
        <f>VLOOKUP($L169,TABLE!$I$3:$O$13,N$2,FALSE)/VLOOKUP($M169,TABLE!$I$3:$O$13,N$2,FALSE)*F169</f>
        <v>0.79830002297266245</v>
      </c>
      <c r="O169" s="51">
        <f>VLOOKUP($L169,TABLE!$I$3:$O$13,O$2,FALSE)/VLOOKUP($M169,TABLE!$I$3:$O$13,O$2,FALSE)*G169</f>
        <v>1.6924738926899532</v>
      </c>
      <c r="P169" s="51">
        <f>VLOOKUP($L169,TABLE!$I$3:$O$13,P$2,FALSE)/VLOOKUP($M169,TABLE!$I$3:$O$13,P$2,FALSE)*H169</f>
        <v>2.9320823115470738</v>
      </c>
      <c r="Q169" s="51">
        <f>VLOOKUP($L169,TABLE!$I$3:$O$13,Q$2,FALSE)/VLOOKUP($M169,TABLE!$I$3:$O$13,Q$2,FALSE)*I169</f>
        <v>2.5348666503547834</v>
      </c>
      <c r="R169" s="51">
        <f>VLOOKUP($L169,TABLE!$I$3:$O$13,R$2,FALSE)/VLOOKUP($M169,TABLE!$I$3:$O$13,R$2,FALSE)*J169</f>
        <v>1.1867156151284897</v>
      </c>
    </row>
    <row r="170" spans="2:18">
      <c r="B170" t="s">
        <v>22</v>
      </c>
      <c r="C170" t="s">
        <v>124</v>
      </c>
      <c r="D170" t="s">
        <v>145</v>
      </c>
      <c r="E170" t="s">
        <v>376</v>
      </c>
      <c r="F170" s="51"/>
      <c r="G170" s="51"/>
      <c r="H170" s="51"/>
      <c r="I170" s="51"/>
      <c r="J170" s="51"/>
      <c r="L170" t="str">
        <f>VLOOKUP(B170,TABLE!D:E,2,FALSE)</f>
        <v>BRL</v>
      </c>
      <c r="M170" t="str">
        <f t="shared" si="2"/>
        <v>USD</v>
      </c>
      <c r="N170" s="51">
        <f>VLOOKUP($L170,TABLE!$I$3:$O$13,N$2,FALSE)/VLOOKUP($M170,TABLE!$I$3:$O$13,N$2,FALSE)*F170</f>
        <v>0</v>
      </c>
      <c r="O170" s="51">
        <f>VLOOKUP($L170,TABLE!$I$3:$O$13,O$2,FALSE)/VLOOKUP($M170,TABLE!$I$3:$O$13,O$2,FALSE)*G170</f>
        <v>0</v>
      </c>
      <c r="P170" s="51">
        <f>VLOOKUP($L170,TABLE!$I$3:$O$13,P$2,FALSE)/VLOOKUP($M170,TABLE!$I$3:$O$13,P$2,FALSE)*H170</f>
        <v>0</v>
      </c>
      <c r="Q170" s="51">
        <f>VLOOKUP($L170,TABLE!$I$3:$O$13,Q$2,FALSE)/VLOOKUP($M170,TABLE!$I$3:$O$13,Q$2,FALSE)*I170</f>
        <v>0</v>
      </c>
      <c r="R170" s="51">
        <f>VLOOKUP($L170,TABLE!$I$3:$O$13,R$2,FALSE)/VLOOKUP($M170,TABLE!$I$3:$O$13,R$2,FALSE)*J170</f>
        <v>0</v>
      </c>
    </row>
    <row r="171" spans="2:18">
      <c r="B171" t="s">
        <v>22</v>
      </c>
      <c r="C171" t="s">
        <v>124</v>
      </c>
      <c r="D171" t="s">
        <v>36</v>
      </c>
      <c r="E171" t="s">
        <v>377</v>
      </c>
      <c r="F171" s="51">
        <v>16.13</v>
      </c>
      <c r="G171" s="51">
        <v>18.100000000000001</v>
      </c>
      <c r="H171" s="51">
        <v>20.04</v>
      </c>
      <c r="I171" s="51">
        <v>21.68</v>
      </c>
      <c r="J171" s="51">
        <v>23.78</v>
      </c>
      <c r="L171" t="str">
        <f>VLOOKUP(B171,TABLE!D:E,2,FALSE)</f>
        <v>BRL</v>
      </c>
      <c r="M171" t="str">
        <f t="shared" si="2"/>
        <v>USD</v>
      </c>
      <c r="N171" s="51">
        <f>VLOOKUP($L171,TABLE!$I$3:$O$13,N$2,FALSE)/VLOOKUP($M171,TABLE!$I$3:$O$13,N$2,FALSE)*F171</f>
        <v>9.2637261658626233</v>
      </c>
      <c r="O171" s="51">
        <f>VLOOKUP($L171,TABLE!$I$3:$O$13,O$2,FALSE)/VLOOKUP($M171,TABLE!$I$3:$O$13,O$2,FALSE)*G171</f>
        <v>10.863041651662467</v>
      </c>
      <c r="P171" s="51">
        <f>VLOOKUP($L171,TABLE!$I$3:$O$13,P$2,FALSE)/VLOOKUP($M171,TABLE!$I$3:$O$13,P$2,FALSE)*H171</f>
        <v>10.683441731527882</v>
      </c>
      <c r="Q171" s="51">
        <f>VLOOKUP($L171,TABLE!$I$3:$O$13,Q$2,FALSE)/VLOOKUP($M171,TABLE!$I$3:$O$13,Q$2,FALSE)*I171</f>
        <v>10.609248837778322</v>
      </c>
      <c r="R171" s="51">
        <f>VLOOKUP($L171,TABLE!$I$3:$O$13,R$2,FALSE)/VLOOKUP($M171,TABLE!$I$3:$O$13,R$2,FALSE)*J171</f>
        <v>10.151114146674635</v>
      </c>
    </row>
    <row r="172" spans="2:18">
      <c r="B172" t="s">
        <v>22</v>
      </c>
      <c r="C172" t="s">
        <v>124</v>
      </c>
      <c r="D172" t="s">
        <v>38</v>
      </c>
      <c r="E172" t="s">
        <v>378</v>
      </c>
      <c r="F172" s="51">
        <v>1.36</v>
      </c>
      <c r="G172" s="51">
        <v>1.74</v>
      </c>
      <c r="H172" s="51">
        <v>2.44</v>
      </c>
      <c r="I172" s="51">
        <v>2.2400000000000002</v>
      </c>
      <c r="J172" s="51">
        <v>2.4300000000000002</v>
      </c>
      <c r="L172" t="str">
        <f>VLOOKUP(B172,TABLE!D:E,2,FALSE)</f>
        <v>BRL</v>
      </c>
      <c r="M172" t="str">
        <f t="shared" si="2"/>
        <v>USD</v>
      </c>
      <c r="N172" s="51">
        <f>VLOOKUP($L172,TABLE!$I$3:$O$13,N$2,FALSE)/VLOOKUP($M172,TABLE!$I$3:$O$13,N$2,FALSE)*F172</f>
        <v>0.78107052607397198</v>
      </c>
      <c r="O172" s="51">
        <f>VLOOKUP($L172,TABLE!$I$3:$O$13,O$2,FALSE)/VLOOKUP($M172,TABLE!$I$3:$O$13,O$2,FALSE)*G172</f>
        <v>1.0442924018725244</v>
      </c>
      <c r="P172" s="51">
        <f>VLOOKUP($L172,TABLE!$I$3:$O$13,P$2,FALSE)/VLOOKUP($M172,TABLE!$I$3:$O$13,P$2,FALSE)*H172</f>
        <v>1.3007783345772472</v>
      </c>
      <c r="Q172" s="51">
        <f>VLOOKUP($L172,TABLE!$I$3:$O$13,Q$2,FALSE)/VLOOKUP($M172,TABLE!$I$3:$O$13,Q$2,FALSE)*I172</f>
        <v>1.0961585515047714</v>
      </c>
      <c r="R172" s="51">
        <f>VLOOKUP($L172,TABLE!$I$3:$O$13,R$2,FALSE)/VLOOKUP($M172,TABLE!$I$3:$O$13,R$2,FALSE)*J172</f>
        <v>1.0373089729360541</v>
      </c>
    </row>
    <row r="173" spans="2:18">
      <c r="B173" t="s">
        <v>22</v>
      </c>
      <c r="C173" t="s">
        <v>124</v>
      </c>
      <c r="D173" t="s">
        <v>40</v>
      </c>
      <c r="E173" t="s">
        <v>379</v>
      </c>
      <c r="F173" s="51">
        <v>14.77</v>
      </c>
      <c r="G173" s="51">
        <v>16.36</v>
      </c>
      <c r="H173" s="51">
        <v>17.600000000000001</v>
      </c>
      <c r="I173" s="51">
        <v>19.45</v>
      </c>
      <c r="J173" s="51">
        <v>21.35</v>
      </c>
      <c r="L173" t="str">
        <f>VLOOKUP(B173,TABLE!D:E,2,FALSE)</f>
        <v>BRL</v>
      </c>
      <c r="M173" t="str">
        <f t="shared" si="2"/>
        <v>USD</v>
      </c>
      <c r="N173" s="51">
        <f>VLOOKUP($L173,TABLE!$I$3:$O$13,N$2,FALSE)/VLOOKUP($M173,TABLE!$I$3:$O$13,N$2,FALSE)*F173</f>
        <v>8.4826556397886517</v>
      </c>
      <c r="O173" s="51">
        <f>VLOOKUP($L173,TABLE!$I$3:$O$13,O$2,FALSE)/VLOOKUP($M173,TABLE!$I$3:$O$13,O$2,FALSE)*G173</f>
        <v>9.818749249789942</v>
      </c>
      <c r="P173" s="51">
        <f>VLOOKUP($L173,TABLE!$I$3:$O$13,P$2,FALSE)/VLOOKUP($M173,TABLE!$I$3:$O$13,P$2,FALSE)*H173</f>
        <v>9.3826633969506368</v>
      </c>
      <c r="Q173" s="51">
        <f>VLOOKUP($L173,TABLE!$I$3:$O$13,Q$2,FALSE)/VLOOKUP($M173,TABLE!$I$3:$O$13,Q$2,FALSE)*I173</f>
        <v>9.5179838512356252</v>
      </c>
      <c r="R173" s="51">
        <f>VLOOKUP($L173,TABLE!$I$3:$O$13,R$2,FALSE)/VLOOKUP($M173,TABLE!$I$3:$O$13,R$2,FALSE)*J173</f>
        <v>9.1138051737385819</v>
      </c>
    </row>
    <row r="174" spans="2:18">
      <c r="B174" t="s">
        <v>22</v>
      </c>
      <c r="C174" t="s">
        <v>124</v>
      </c>
      <c r="D174" t="s">
        <v>46</v>
      </c>
      <c r="E174" t="s">
        <v>380</v>
      </c>
      <c r="F174" s="51">
        <v>44.28</v>
      </c>
      <c r="G174" s="51">
        <v>47.32</v>
      </c>
      <c r="H174" s="51">
        <v>43.97</v>
      </c>
      <c r="I174" s="51">
        <v>27.67</v>
      </c>
      <c r="J174" s="51">
        <v>27.06</v>
      </c>
      <c r="L174" t="str">
        <f>VLOOKUP(B174,TABLE!D:E,2,FALSE)</f>
        <v>BRL</v>
      </c>
      <c r="M174" t="str">
        <f t="shared" si="2"/>
        <v>USD</v>
      </c>
      <c r="N174" s="51">
        <f>VLOOKUP($L174,TABLE!$I$3:$O$13,N$2,FALSE)/VLOOKUP($M174,TABLE!$I$3:$O$13,N$2,FALSE)*F174</f>
        <v>25.430737422467264</v>
      </c>
      <c r="O174" s="51">
        <f>VLOOKUP($L174,TABLE!$I$3:$O$13,O$2,FALSE)/VLOOKUP($M174,TABLE!$I$3:$O$13,O$2,FALSE)*G174</f>
        <v>28.399951986556239</v>
      </c>
      <c r="P174" s="51">
        <f>VLOOKUP($L174,TABLE!$I$3:$O$13,P$2,FALSE)/VLOOKUP($M174,TABLE!$I$3:$O$13,P$2,FALSE)*H174</f>
        <v>23.440665316131785</v>
      </c>
      <c r="Q174" s="51">
        <f>VLOOKUP($L174,TABLE!$I$3:$O$13,Q$2,FALSE)/VLOOKUP($M174,TABLE!$I$3:$O$13,Q$2,FALSE)*I174</f>
        <v>13.540494250061171</v>
      </c>
      <c r="R174" s="51">
        <f>VLOOKUP($L174,TABLE!$I$3:$O$13,R$2,FALSE)/VLOOKUP($M174,TABLE!$I$3:$O$13,R$2,FALSE)*J174</f>
        <v>11.551267822078032</v>
      </c>
    </row>
    <row r="175" spans="2:18">
      <c r="B175" t="s">
        <v>24</v>
      </c>
      <c r="C175" t="s">
        <v>124</v>
      </c>
      <c r="D175" t="s">
        <v>9</v>
      </c>
      <c r="E175" t="s">
        <v>381</v>
      </c>
      <c r="F175" s="51">
        <v>8.24</v>
      </c>
      <c r="G175" s="51">
        <v>15.61</v>
      </c>
      <c r="H175" s="51">
        <v>11.72</v>
      </c>
      <c r="I175" s="51">
        <v>14.99</v>
      </c>
      <c r="J175" s="51">
        <v>15.49</v>
      </c>
      <c r="L175" t="str">
        <f>VLOOKUP(B175,TABLE!D:E,2,FALSE)</f>
        <v>GBP</v>
      </c>
      <c r="M175" t="str">
        <f t="shared" si="2"/>
        <v>USD</v>
      </c>
      <c r="N175" s="51">
        <f>VLOOKUP($L175,TABLE!$I$3:$O$13,N$2,FALSE)/VLOOKUP($M175,TABLE!$I$3:$O$13,N$2,FALSE)*F175</f>
        <v>13.364445210199863</v>
      </c>
      <c r="O175" s="51">
        <f>VLOOKUP($L175,TABLE!$I$3:$O$13,O$2,FALSE)/VLOOKUP($M175,TABLE!$I$3:$O$13,O$2,FALSE)*G175</f>
        <v>24.24224942984036</v>
      </c>
      <c r="P175" s="51">
        <f>VLOOKUP($L175,TABLE!$I$3:$O$13,P$2,FALSE)/VLOOKUP($M175,TABLE!$I$3:$O$13,P$2,FALSE)*H175</f>
        <v>18.21167288623521</v>
      </c>
      <c r="Q175" s="51">
        <f>VLOOKUP($L175,TABLE!$I$3:$O$13,Q$2,FALSE)/VLOOKUP($M175,TABLE!$I$3:$O$13,Q$2,FALSE)*I175</f>
        <v>24.229737704918033</v>
      </c>
      <c r="R175" s="51">
        <f>VLOOKUP($L175,TABLE!$I$3:$O$13,R$2,FALSE)/VLOOKUP($M175,TABLE!$I$3:$O$13,R$2,FALSE)*J175</f>
        <v>25.608158456415946</v>
      </c>
    </row>
    <row r="176" spans="2:18">
      <c r="B176" t="s">
        <v>24</v>
      </c>
      <c r="C176" t="s">
        <v>124</v>
      </c>
      <c r="D176" t="s">
        <v>11</v>
      </c>
      <c r="E176" t="s">
        <v>382</v>
      </c>
      <c r="F176" s="51">
        <v>14</v>
      </c>
      <c r="G176" s="51">
        <v>15.49</v>
      </c>
      <c r="H176" s="51">
        <v>17.97</v>
      </c>
      <c r="I176" s="51">
        <v>15.98</v>
      </c>
      <c r="J176" s="51">
        <v>24.05</v>
      </c>
      <c r="L176" t="str">
        <f>VLOOKUP(B176,TABLE!D:E,2,FALSE)</f>
        <v>GBP</v>
      </c>
      <c r="M176" t="str">
        <f t="shared" si="2"/>
        <v>USD</v>
      </c>
      <c r="N176" s="51">
        <f>VLOOKUP($L176,TABLE!$I$3:$O$13,N$2,FALSE)/VLOOKUP($M176,TABLE!$I$3:$O$13,N$2,FALSE)*F176</f>
        <v>22.7065816678153</v>
      </c>
      <c r="O176" s="51">
        <f>VLOOKUP($L176,TABLE!$I$3:$O$13,O$2,FALSE)/VLOOKUP($M176,TABLE!$I$3:$O$13,O$2,FALSE)*G176</f>
        <v>24.055890049213783</v>
      </c>
      <c r="P176" s="51">
        <f>VLOOKUP($L176,TABLE!$I$3:$O$13,P$2,FALSE)/VLOOKUP($M176,TABLE!$I$3:$O$13,P$2,FALSE)*H176</f>
        <v>27.923529160891352</v>
      </c>
      <c r="Q176" s="51">
        <f>VLOOKUP($L176,TABLE!$I$3:$O$13,Q$2,FALSE)/VLOOKUP($M176,TABLE!$I$3:$O$13,Q$2,FALSE)*I176</f>
        <v>25.829967213114756</v>
      </c>
      <c r="R176" s="51">
        <f>VLOOKUP($L176,TABLE!$I$3:$O$13,R$2,FALSE)/VLOOKUP($M176,TABLE!$I$3:$O$13,R$2,FALSE)*J176</f>
        <v>39.759600443951165</v>
      </c>
    </row>
    <row r="177" spans="2:18">
      <c r="B177" t="s">
        <v>24</v>
      </c>
      <c r="C177" t="s">
        <v>124</v>
      </c>
      <c r="D177" t="s">
        <v>13</v>
      </c>
      <c r="E177" t="s">
        <v>383</v>
      </c>
      <c r="F177" s="51">
        <v>14</v>
      </c>
      <c r="G177" s="51">
        <v>16.75</v>
      </c>
      <c r="H177" s="51">
        <v>16.510000000000002</v>
      </c>
      <c r="I177" s="51">
        <v>17.14</v>
      </c>
      <c r="J177" s="51">
        <v>17.649999999999999</v>
      </c>
      <c r="L177" t="str">
        <f>VLOOKUP(B177,TABLE!D:E,2,FALSE)</f>
        <v>GBP</v>
      </c>
      <c r="M177" t="str">
        <f t="shared" si="2"/>
        <v>USD</v>
      </c>
      <c r="N177" s="51">
        <f>VLOOKUP($L177,TABLE!$I$3:$O$13,N$2,FALSE)/VLOOKUP($M177,TABLE!$I$3:$O$13,N$2,FALSE)*F177</f>
        <v>22.7065816678153</v>
      </c>
      <c r="O177" s="51">
        <f>VLOOKUP($L177,TABLE!$I$3:$O$13,O$2,FALSE)/VLOOKUP($M177,TABLE!$I$3:$O$13,O$2,FALSE)*G177</f>
        <v>26.012663545792826</v>
      </c>
      <c r="P177" s="51">
        <f>VLOOKUP($L177,TABLE!$I$3:$O$13,P$2,FALSE)/VLOOKUP($M177,TABLE!$I$3:$O$13,P$2,FALSE)*H177</f>
        <v>25.654839535131682</v>
      </c>
      <c r="Q177" s="51">
        <f>VLOOKUP($L177,TABLE!$I$3:$O$13,Q$2,FALSE)/VLOOKUP($M177,TABLE!$I$3:$O$13,Q$2,FALSE)*I177</f>
        <v>27.704983606557381</v>
      </c>
      <c r="R177" s="51">
        <f>VLOOKUP($L177,TABLE!$I$3:$O$13,R$2,FALSE)/VLOOKUP($M177,TABLE!$I$3:$O$13,R$2,FALSE)*J177</f>
        <v>29.179083070093057</v>
      </c>
    </row>
    <row r="178" spans="2:18">
      <c r="B178" t="s">
        <v>24</v>
      </c>
      <c r="C178" t="s">
        <v>124</v>
      </c>
      <c r="D178" t="s">
        <v>15</v>
      </c>
      <c r="E178" t="s">
        <v>384</v>
      </c>
      <c r="F178" s="51">
        <v>41.89</v>
      </c>
      <c r="G178" s="51">
        <v>57.31</v>
      </c>
      <c r="H178" s="51">
        <v>57.37</v>
      </c>
      <c r="I178" s="51">
        <v>56.39</v>
      </c>
      <c r="J178" s="51">
        <v>58.47</v>
      </c>
      <c r="L178" t="str">
        <f>VLOOKUP(B178,TABLE!D:E,2,FALSE)</f>
        <v>GBP</v>
      </c>
      <c r="M178" t="str">
        <f t="shared" si="2"/>
        <v>USD</v>
      </c>
      <c r="N178" s="51">
        <f>VLOOKUP($L178,TABLE!$I$3:$O$13,N$2,FALSE)/VLOOKUP($M178,TABLE!$I$3:$O$13,N$2,FALSE)*F178</f>
        <v>67.941336147484492</v>
      </c>
      <c r="O178" s="51">
        <f>VLOOKUP($L178,TABLE!$I$3:$O$13,O$2,FALSE)/VLOOKUP($M178,TABLE!$I$3:$O$13,O$2,FALSE)*G178</f>
        <v>89.002134197575344</v>
      </c>
      <c r="P178" s="51">
        <f>VLOOKUP($L178,TABLE!$I$3:$O$13,P$2,FALSE)/VLOOKUP($M178,TABLE!$I$3:$O$13,P$2,FALSE)*H178</f>
        <v>89.147071116323701</v>
      </c>
      <c r="Q178" s="51">
        <f>VLOOKUP($L178,TABLE!$I$3:$O$13,Q$2,FALSE)/VLOOKUP($M178,TABLE!$I$3:$O$13,Q$2,FALSE)*I178</f>
        <v>91.148426229508203</v>
      </c>
      <c r="R178" s="51">
        <f>VLOOKUP($L178,TABLE!$I$3:$O$13,R$2,FALSE)/VLOOKUP($M178,TABLE!$I$3:$O$13,R$2,FALSE)*J178</f>
        <v>96.662945445231784</v>
      </c>
    </row>
    <row r="179" spans="2:18">
      <c r="B179" t="s">
        <v>24</v>
      </c>
      <c r="C179" t="s">
        <v>124</v>
      </c>
      <c r="D179" t="s">
        <v>18</v>
      </c>
      <c r="E179" t="s">
        <v>385</v>
      </c>
      <c r="F179" s="51">
        <v>146.12</v>
      </c>
      <c r="G179" s="51">
        <v>173.9</v>
      </c>
      <c r="H179" s="51">
        <v>188.58</v>
      </c>
      <c r="I179" s="51">
        <v>184.68</v>
      </c>
      <c r="J179" s="51">
        <v>184.57</v>
      </c>
      <c r="L179" t="str">
        <f>VLOOKUP(B179,TABLE!D:E,2,FALSE)</f>
        <v>GBP</v>
      </c>
      <c r="M179" t="str">
        <f t="shared" si="2"/>
        <v>USD</v>
      </c>
      <c r="N179" s="51">
        <f>VLOOKUP($L179,TABLE!$I$3:$O$13,N$2,FALSE)/VLOOKUP($M179,TABLE!$I$3:$O$13,N$2,FALSE)*F179</f>
        <v>236.99183666436943</v>
      </c>
      <c r="O179" s="51">
        <f>VLOOKUP($L179,TABLE!$I$3:$O$13,O$2,FALSE)/VLOOKUP($M179,TABLE!$I$3:$O$13,O$2,FALSE)*G179</f>
        <v>270.06580242467896</v>
      </c>
      <c r="P179" s="51">
        <f>VLOOKUP($L179,TABLE!$I$3:$O$13,P$2,FALSE)/VLOOKUP($M179,TABLE!$I$3:$O$13,P$2,FALSE)*H179</f>
        <v>293.03389700394501</v>
      </c>
      <c r="Q179" s="51">
        <f>VLOOKUP($L179,TABLE!$I$3:$O$13,Q$2,FALSE)/VLOOKUP($M179,TABLE!$I$3:$O$13,Q$2,FALSE)*I179</f>
        <v>298.51554098360657</v>
      </c>
      <c r="R179" s="51">
        <f>VLOOKUP($L179,TABLE!$I$3:$O$13,R$2,FALSE)/VLOOKUP($M179,TABLE!$I$3:$O$13,R$2,FALSE)*J179</f>
        <v>305.1322018270298</v>
      </c>
    </row>
    <row r="180" spans="2:18">
      <c r="B180" t="s">
        <v>24</v>
      </c>
      <c r="C180" t="s">
        <v>124</v>
      </c>
      <c r="D180" t="s">
        <v>21</v>
      </c>
      <c r="E180" t="s">
        <v>386</v>
      </c>
      <c r="F180" s="51">
        <v>36.729999999999997</v>
      </c>
      <c r="G180" s="51">
        <v>52.91</v>
      </c>
      <c r="H180" s="51">
        <v>53.91</v>
      </c>
      <c r="I180" s="51">
        <v>47.21</v>
      </c>
      <c r="J180" s="51">
        <v>43.96</v>
      </c>
      <c r="L180" t="str">
        <f>VLOOKUP(B180,TABLE!D:E,2,FALSE)</f>
        <v>GBP</v>
      </c>
      <c r="M180" t="str">
        <f t="shared" si="2"/>
        <v>USD</v>
      </c>
      <c r="N180" s="51">
        <f>VLOOKUP($L180,TABLE!$I$3:$O$13,N$2,FALSE)/VLOOKUP($M180,TABLE!$I$3:$O$13,N$2,FALSE)*F180</f>
        <v>59.572338904203995</v>
      </c>
      <c r="O180" s="51">
        <f>VLOOKUP($L180,TABLE!$I$3:$O$13,O$2,FALSE)/VLOOKUP($M180,TABLE!$I$3:$O$13,O$2,FALSE)*G180</f>
        <v>82.168956907934231</v>
      </c>
      <c r="P180" s="51">
        <f>VLOOKUP($L180,TABLE!$I$3:$O$13,P$2,FALSE)/VLOOKUP($M180,TABLE!$I$3:$O$13,P$2,FALSE)*H180</f>
        <v>83.77058748267406</v>
      </c>
      <c r="Q180" s="51">
        <f>VLOOKUP($L180,TABLE!$I$3:$O$13,Q$2,FALSE)/VLOOKUP($M180,TABLE!$I$3:$O$13,Q$2,FALSE)*I180</f>
        <v>76.309934426229518</v>
      </c>
      <c r="R180" s="51">
        <f>VLOOKUP($L180,TABLE!$I$3:$O$13,R$2,FALSE)/VLOOKUP($M180,TABLE!$I$3:$O$13,R$2,FALSE)*J180</f>
        <v>72.674928711687869</v>
      </c>
    </row>
    <row r="181" spans="2:18">
      <c r="B181" t="s">
        <v>24</v>
      </c>
      <c r="C181" t="s">
        <v>124</v>
      </c>
      <c r="D181" t="s">
        <v>20</v>
      </c>
      <c r="E181" t="s">
        <v>387</v>
      </c>
      <c r="F181" s="51">
        <v>14.17</v>
      </c>
      <c r="G181" s="51">
        <v>17.57</v>
      </c>
      <c r="H181" s="51">
        <v>19.190000000000001</v>
      </c>
      <c r="I181" s="51">
        <v>18.27</v>
      </c>
      <c r="J181" s="51">
        <v>28.47</v>
      </c>
      <c r="L181" t="str">
        <f>VLOOKUP(B181,TABLE!D:E,2,FALSE)</f>
        <v>GBP</v>
      </c>
      <c r="M181" t="str">
        <f t="shared" si="2"/>
        <v>USD</v>
      </c>
      <c r="N181" s="51">
        <f>VLOOKUP($L181,TABLE!$I$3:$O$13,N$2,FALSE)/VLOOKUP($M181,TABLE!$I$3:$O$13,N$2,FALSE)*F181</f>
        <v>22.9823044452102</v>
      </c>
      <c r="O181" s="51">
        <f>VLOOKUP($L181,TABLE!$I$3:$O$13,O$2,FALSE)/VLOOKUP($M181,TABLE!$I$3:$O$13,O$2,FALSE)*G181</f>
        <v>27.28611931340776</v>
      </c>
      <c r="P181" s="51">
        <f>VLOOKUP($L181,TABLE!$I$3:$O$13,P$2,FALSE)/VLOOKUP($M181,TABLE!$I$3:$O$13,P$2,FALSE)*H181</f>
        <v>29.819283505704234</v>
      </c>
      <c r="Q181" s="51">
        <f>VLOOKUP($L181,TABLE!$I$3:$O$13,Q$2,FALSE)/VLOOKUP($M181,TABLE!$I$3:$O$13,Q$2,FALSE)*I181</f>
        <v>29.531508196721312</v>
      </c>
      <c r="R181" s="51">
        <f>VLOOKUP($L181,TABLE!$I$3:$O$13,R$2,FALSE)/VLOOKUP($M181,TABLE!$I$3:$O$13,R$2,FALSE)*J181</f>
        <v>47.066770255271919</v>
      </c>
    </row>
    <row r="182" spans="2:18">
      <c r="B182" t="s">
        <v>24</v>
      </c>
      <c r="C182" t="s">
        <v>124</v>
      </c>
      <c r="D182" t="s">
        <v>25</v>
      </c>
      <c r="E182" t="s">
        <v>388</v>
      </c>
      <c r="F182" s="51">
        <v>63.23</v>
      </c>
      <c r="G182" s="51">
        <v>61.25</v>
      </c>
      <c r="H182" s="51">
        <v>72.38</v>
      </c>
      <c r="I182" s="51">
        <v>73.59</v>
      </c>
      <c r="J182" s="51">
        <v>78.739999999999995</v>
      </c>
      <c r="L182" t="str">
        <f>VLOOKUP(B182,TABLE!D:E,2,FALSE)</f>
        <v>GBP</v>
      </c>
      <c r="M182" t="str">
        <f t="shared" si="2"/>
        <v>USD</v>
      </c>
      <c r="N182" s="51">
        <f>VLOOKUP($L182,TABLE!$I$3:$O$13,N$2,FALSE)/VLOOKUP($M182,TABLE!$I$3:$O$13,N$2,FALSE)*F182</f>
        <v>102.55265420399724</v>
      </c>
      <c r="O182" s="51">
        <f>VLOOKUP($L182,TABLE!$I$3:$O$13,O$2,FALSE)/VLOOKUP($M182,TABLE!$I$3:$O$13,O$2,FALSE)*G182</f>
        <v>95.120933861481234</v>
      </c>
      <c r="P182" s="51">
        <f>VLOOKUP($L182,TABLE!$I$3:$O$13,P$2,FALSE)/VLOOKUP($M182,TABLE!$I$3:$O$13,P$2,FALSE)*H182</f>
        <v>112.47106514553791</v>
      </c>
      <c r="Q182" s="51">
        <f>VLOOKUP($L182,TABLE!$I$3:$O$13,Q$2,FALSE)/VLOOKUP($M182,TABLE!$I$3:$O$13,Q$2,FALSE)*I182</f>
        <v>118.95039344262297</v>
      </c>
      <c r="R182" s="51">
        <f>VLOOKUP($L182,TABLE!$I$3:$O$13,R$2,FALSE)/VLOOKUP($M182,TABLE!$I$3:$O$13,R$2,FALSE)*J182</f>
        <v>130.173427815248</v>
      </c>
    </row>
    <row r="183" spans="2:18">
      <c r="B183" t="s">
        <v>24</v>
      </c>
      <c r="C183" t="s">
        <v>124</v>
      </c>
      <c r="D183" t="s">
        <v>30</v>
      </c>
      <c r="E183" t="s">
        <v>389</v>
      </c>
      <c r="F183" s="51">
        <v>153.32</v>
      </c>
      <c r="G183" s="51">
        <v>192.44</v>
      </c>
      <c r="H183" s="51">
        <v>234.25</v>
      </c>
      <c r="I183" s="51">
        <v>237.02</v>
      </c>
      <c r="J183" s="51">
        <v>242.55</v>
      </c>
      <c r="L183" t="str">
        <f>VLOOKUP(B183,TABLE!D:E,2,FALSE)</f>
        <v>GBP</v>
      </c>
      <c r="M183" t="str">
        <f t="shared" si="2"/>
        <v>USD</v>
      </c>
      <c r="N183" s="51">
        <f>VLOOKUP($L183,TABLE!$I$3:$O$13,N$2,FALSE)/VLOOKUP($M183,TABLE!$I$3:$O$13,N$2,FALSE)*F183</f>
        <v>248.66950723638871</v>
      </c>
      <c r="O183" s="51">
        <f>VLOOKUP($L183,TABLE!$I$3:$O$13,O$2,FALSE)/VLOOKUP($M183,TABLE!$I$3:$O$13,O$2,FALSE)*G183</f>
        <v>298.85832673148485</v>
      </c>
      <c r="P183" s="51">
        <f>VLOOKUP($L183,TABLE!$I$3:$O$13,P$2,FALSE)/VLOOKUP($M183,TABLE!$I$3:$O$13,P$2,FALSE)*H183</f>
        <v>364.00037317411238</v>
      </c>
      <c r="Q183" s="51">
        <f>VLOOKUP($L183,TABLE!$I$3:$O$13,Q$2,FALSE)/VLOOKUP($M183,TABLE!$I$3:$O$13,Q$2,FALSE)*I183</f>
        <v>383.11757377049184</v>
      </c>
      <c r="R183" s="51">
        <f>VLOOKUP($L183,TABLE!$I$3:$O$13,R$2,FALSE)/VLOOKUP($M183,TABLE!$I$3:$O$13,R$2,FALSE)*J183</f>
        <v>400.98507641082557</v>
      </c>
    </row>
    <row r="184" spans="2:18">
      <c r="B184" t="s">
        <v>24</v>
      </c>
      <c r="C184" t="s">
        <v>124</v>
      </c>
      <c r="D184" t="s">
        <v>34</v>
      </c>
      <c r="E184" t="s">
        <v>390</v>
      </c>
      <c r="F184" s="51">
        <v>25.42</v>
      </c>
      <c r="G184" s="51">
        <v>29.47</v>
      </c>
      <c r="H184" s="51">
        <v>33.76</v>
      </c>
      <c r="I184" s="51">
        <v>22.22</v>
      </c>
      <c r="J184" s="51">
        <v>23.23</v>
      </c>
      <c r="L184" t="str">
        <f>VLOOKUP(B184,TABLE!D:E,2,FALSE)</f>
        <v>GBP</v>
      </c>
      <c r="M184" t="str">
        <f t="shared" si="2"/>
        <v>USD</v>
      </c>
      <c r="N184" s="51">
        <f>VLOOKUP($L184,TABLE!$I$3:$O$13,N$2,FALSE)/VLOOKUP($M184,TABLE!$I$3:$O$13,N$2,FALSE)*F184</f>
        <v>41.228664713990355</v>
      </c>
      <c r="O184" s="51">
        <f>VLOOKUP($L184,TABLE!$I$3:$O$13,O$2,FALSE)/VLOOKUP($M184,TABLE!$I$3:$O$13,O$2,FALSE)*G184</f>
        <v>45.766757892209824</v>
      </c>
      <c r="P184" s="51">
        <f>VLOOKUP($L184,TABLE!$I$3:$O$13,P$2,FALSE)/VLOOKUP($M184,TABLE!$I$3:$O$13,P$2,FALSE)*H184</f>
        <v>52.459562853182639</v>
      </c>
      <c r="Q184" s="51">
        <f>VLOOKUP($L184,TABLE!$I$3:$O$13,Q$2,FALSE)/VLOOKUP($M184,TABLE!$I$3:$O$13,Q$2,FALSE)*I184</f>
        <v>35.916262295081971</v>
      </c>
      <c r="R184" s="51">
        <f>VLOOKUP($L184,TABLE!$I$3:$O$13,R$2,FALSE)/VLOOKUP($M184,TABLE!$I$3:$O$13,R$2,FALSE)*J184</f>
        <v>38.403971655425593</v>
      </c>
    </row>
    <row r="185" spans="2:18">
      <c r="B185" t="s">
        <v>24</v>
      </c>
      <c r="C185" t="s">
        <v>124</v>
      </c>
      <c r="D185" t="s">
        <v>48</v>
      </c>
      <c r="E185" t="s">
        <v>391</v>
      </c>
      <c r="F185" s="51">
        <v>10.62</v>
      </c>
      <c r="G185" s="51">
        <v>-2.41</v>
      </c>
      <c r="H185" s="51">
        <v>16.03</v>
      </c>
      <c r="I185" s="51">
        <v>7.31</v>
      </c>
      <c r="J185" s="51">
        <v>15</v>
      </c>
      <c r="L185" t="str">
        <f>VLOOKUP(B185,TABLE!D:E,2,FALSE)</f>
        <v>GBP</v>
      </c>
      <c r="M185" t="str">
        <f t="shared" si="2"/>
        <v>USD</v>
      </c>
      <c r="N185" s="51">
        <f>VLOOKUP($L185,TABLE!$I$3:$O$13,N$2,FALSE)/VLOOKUP($M185,TABLE!$I$3:$O$13,N$2,FALSE)*F185</f>
        <v>17.224564093728464</v>
      </c>
      <c r="O185" s="51">
        <f>VLOOKUP($L185,TABLE!$I$3:$O$13,O$2,FALSE)/VLOOKUP($M185,TABLE!$I$3:$O$13,O$2,FALSE)*G185</f>
        <v>-3.7427175609170575</v>
      </c>
      <c r="P185" s="51">
        <f>VLOOKUP($L185,TABLE!$I$3:$O$13,P$2,FALSE)/VLOOKUP($M185,TABLE!$I$3:$O$13,P$2,FALSE)*H185</f>
        <v>24.908968973238089</v>
      </c>
      <c r="Q185" s="51">
        <f>VLOOKUP($L185,TABLE!$I$3:$O$13,Q$2,FALSE)/VLOOKUP($M185,TABLE!$I$3:$O$13,Q$2,FALSE)*I185</f>
        <v>11.815836065573771</v>
      </c>
      <c r="R185" s="51">
        <f>VLOOKUP($L185,TABLE!$I$3:$O$13,R$2,FALSE)/VLOOKUP($M185,TABLE!$I$3:$O$13,R$2,FALSE)*J185</f>
        <v>24.798087594979936</v>
      </c>
    </row>
    <row r="186" spans="2:18">
      <c r="B186" t="s">
        <v>24</v>
      </c>
      <c r="C186" t="s">
        <v>124</v>
      </c>
      <c r="D186" t="s">
        <v>50</v>
      </c>
      <c r="E186" t="s">
        <v>392</v>
      </c>
      <c r="F186" s="51">
        <v>21.78</v>
      </c>
      <c r="G186" s="51">
        <v>25.42</v>
      </c>
      <c r="H186" s="51">
        <v>28.7</v>
      </c>
      <c r="I186" s="51">
        <v>17.46</v>
      </c>
      <c r="J186" s="51">
        <v>19</v>
      </c>
      <c r="L186" t="str">
        <f>VLOOKUP(B186,TABLE!D:E,2,FALSE)</f>
        <v>GBP</v>
      </c>
      <c r="M186" t="str">
        <f t="shared" si="2"/>
        <v>USD</v>
      </c>
      <c r="N186" s="51">
        <f>VLOOKUP($L186,TABLE!$I$3:$O$13,N$2,FALSE)/VLOOKUP($M186,TABLE!$I$3:$O$13,N$2,FALSE)*F186</f>
        <v>35.324953480358374</v>
      </c>
      <c r="O186" s="51">
        <f>VLOOKUP($L186,TABLE!$I$3:$O$13,O$2,FALSE)/VLOOKUP($M186,TABLE!$I$3:$O$13,O$2,FALSE)*G186</f>
        <v>39.477128796062907</v>
      </c>
      <c r="P186" s="51">
        <f>VLOOKUP($L186,TABLE!$I$3:$O$13,P$2,FALSE)/VLOOKUP($M186,TABLE!$I$3:$O$13,P$2,FALSE)*H186</f>
        <v>44.596844013221023</v>
      </c>
      <c r="Q186" s="51">
        <f>VLOOKUP($L186,TABLE!$I$3:$O$13,Q$2,FALSE)/VLOOKUP($M186,TABLE!$I$3:$O$13,Q$2,FALSE)*I186</f>
        <v>28.222229508196726</v>
      </c>
      <c r="R186" s="51">
        <f>VLOOKUP($L186,TABLE!$I$3:$O$13,R$2,FALSE)/VLOOKUP($M186,TABLE!$I$3:$O$13,R$2,FALSE)*J186</f>
        <v>31.410910953641253</v>
      </c>
    </row>
    <row r="187" spans="2:18">
      <c r="B187" t="s">
        <v>24</v>
      </c>
      <c r="C187" t="s">
        <v>124</v>
      </c>
      <c r="D187" t="s">
        <v>44</v>
      </c>
      <c r="E187" t="s">
        <v>393</v>
      </c>
      <c r="F187" s="51">
        <v>0.46009</v>
      </c>
      <c r="G187" s="51">
        <v>0.45404</v>
      </c>
      <c r="H187" s="51">
        <v>0.49156</v>
      </c>
      <c r="I187" s="51">
        <v>0.53137000000000001</v>
      </c>
      <c r="J187" s="51">
        <v>0.68325999999999998</v>
      </c>
      <c r="L187" t="str">
        <f>VLOOKUP(B187,TABLE!D:E,2,FALSE)</f>
        <v>GBP</v>
      </c>
      <c r="M187" t="str">
        <f t="shared" si="2"/>
        <v>USD</v>
      </c>
      <c r="N187" s="51">
        <f>VLOOKUP($L187,TABLE!$I$3:$O$13,N$2,FALSE)/VLOOKUP($M187,TABLE!$I$3:$O$13,N$2,FALSE)*F187</f>
        <v>0.74621936853893867</v>
      </c>
      <c r="O187" s="51">
        <f>VLOOKUP($L187,TABLE!$I$3:$O$13,O$2,FALSE)/VLOOKUP($M187,TABLE!$I$3:$O$13,O$2,FALSE)*G187</f>
        <v>0.70512177649741936</v>
      </c>
      <c r="P187" s="51">
        <f>VLOOKUP($L187,TABLE!$I$3:$O$13,P$2,FALSE)/VLOOKUP($M187,TABLE!$I$3:$O$13,P$2,FALSE)*H187</f>
        <v>0.76383361125919613</v>
      </c>
      <c r="Q187" s="51">
        <f>VLOOKUP($L187,TABLE!$I$3:$O$13,Q$2,FALSE)/VLOOKUP($M187,TABLE!$I$3:$O$13,Q$2,FALSE)*I187</f>
        <v>0.85890298360655748</v>
      </c>
      <c r="R187" s="51">
        <f>VLOOKUP($L187,TABLE!$I$3:$O$13,R$2,FALSE)/VLOOKUP($M187,TABLE!$I$3:$O$13,R$2,FALSE)*J187</f>
        <v>1.1295694220097328</v>
      </c>
    </row>
    <row r="188" spans="2:18">
      <c r="B188" t="s">
        <v>24</v>
      </c>
      <c r="C188" t="s">
        <v>124</v>
      </c>
      <c r="D188" t="s">
        <v>42</v>
      </c>
      <c r="E188" t="s">
        <v>394</v>
      </c>
      <c r="F188" s="51">
        <v>0.14418</v>
      </c>
      <c r="G188" s="51">
        <v>0.15415000000000001</v>
      </c>
      <c r="H188" s="51">
        <v>0.10418000000000001</v>
      </c>
      <c r="I188" s="51">
        <v>0.15334999999999999</v>
      </c>
      <c r="J188" s="51">
        <v>0</v>
      </c>
      <c r="L188" t="str">
        <f>VLOOKUP(B188,TABLE!D:E,2,FALSE)</f>
        <v>GBP</v>
      </c>
      <c r="M188" t="str">
        <f t="shared" si="2"/>
        <v>USD</v>
      </c>
      <c r="N188" s="51">
        <f>VLOOKUP($L188,TABLE!$I$3:$O$13,N$2,FALSE)/VLOOKUP($M188,TABLE!$I$3:$O$13,N$2,FALSE)*F188</f>
        <v>0.23384535320468644</v>
      </c>
      <c r="O188" s="51">
        <f>VLOOKUP($L188,TABLE!$I$3:$O$13,O$2,FALSE)/VLOOKUP($M188,TABLE!$I$3:$O$13,O$2,FALSE)*G188</f>
        <v>0.23939415436322176</v>
      </c>
      <c r="P188" s="51">
        <f>VLOOKUP($L188,TABLE!$I$3:$O$13,P$2,FALSE)/VLOOKUP($M188,TABLE!$I$3:$O$13,P$2,FALSE)*H188</f>
        <v>0.1618849898709884</v>
      </c>
      <c r="Q188" s="51">
        <f>VLOOKUP($L188,TABLE!$I$3:$O$13,Q$2,FALSE)/VLOOKUP($M188,TABLE!$I$3:$O$13,Q$2,FALSE)*I188</f>
        <v>0.24787393442622951</v>
      </c>
      <c r="R188" s="51">
        <f>VLOOKUP($L188,TABLE!$I$3:$O$13,R$2,FALSE)/VLOOKUP($M188,TABLE!$I$3:$O$13,R$2,FALSE)*J188</f>
        <v>0</v>
      </c>
    </row>
    <row r="189" spans="2:18">
      <c r="B189" t="s">
        <v>24</v>
      </c>
      <c r="C189" t="s">
        <v>124</v>
      </c>
      <c r="D189" t="s">
        <v>145</v>
      </c>
      <c r="E189" t="s">
        <v>395</v>
      </c>
      <c r="F189" s="51"/>
      <c r="G189" s="51"/>
      <c r="H189" s="51"/>
      <c r="I189" s="51"/>
      <c r="J189" s="51"/>
      <c r="L189" t="str">
        <f>VLOOKUP(B189,TABLE!D:E,2,FALSE)</f>
        <v>GBP</v>
      </c>
      <c r="M189" t="str">
        <f t="shared" si="2"/>
        <v>USD</v>
      </c>
      <c r="N189" s="51">
        <f>VLOOKUP($L189,TABLE!$I$3:$O$13,N$2,FALSE)/VLOOKUP($M189,TABLE!$I$3:$O$13,N$2,FALSE)*F189</f>
        <v>0</v>
      </c>
      <c r="O189" s="51">
        <f>VLOOKUP($L189,TABLE!$I$3:$O$13,O$2,FALSE)/VLOOKUP($M189,TABLE!$I$3:$O$13,O$2,FALSE)*G189</f>
        <v>0</v>
      </c>
      <c r="P189" s="51">
        <f>VLOOKUP($L189,TABLE!$I$3:$O$13,P$2,FALSE)/VLOOKUP($M189,TABLE!$I$3:$O$13,P$2,FALSE)*H189</f>
        <v>0</v>
      </c>
      <c r="Q189" s="51">
        <f>VLOOKUP($L189,TABLE!$I$3:$O$13,Q$2,FALSE)/VLOOKUP($M189,TABLE!$I$3:$O$13,Q$2,FALSE)*I189</f>
        <v>0</v>
      </c>
      <c r="R189" s="51">
        <f>VLOOKUP($L189,TABLE!$I$3:$O$13,R$2,FALSE)/VLOOKUP($M189,TABLE!$I$3:$O$13,R$2,FALSE)*J189</f>
        <v>0</v>
      </c>
    </row>
    <row r="190" spans="2:18">
      <c r="B190" t="s">
        <v>24</v>
      </c>
      <c r="C190" t="s">
        <v>124</v>
      </c>
      <c r="D190" t="s">
        <v>36</v>
      </c>
      <c r="E190" t="s">
        <v>396</v>
      </c>
      <c r="F190" s="51">
        <v>9</v>
      </c>
      <c r="G190" s="51">
        <v>8.1300000000000008</v>
      </c>
      <c r="H190" s="51">
        <v>7.48</v>
      </c>
      <c r="I190" s="51">
        <v>7.96</v>
      </c>
      <c r="J190" s="51">
        <v>8.36</v>
      </c>
      <c r="L190" t="str">
        <f>VLOOKUP(B190,TABLE!D:E,2,FALSE)</f>
        <v>GBP</v>
      </c>
      <c r="M190" t="str">
        <f t="shared" si="2"/>
        <v>USD</v>
      </c>
      <c r="N190" s="51">
        <f>VLOOKUP($L190,TABLE!$I$3:$O$13,N$2,FALSE)/VLOOKUP($M190,TABLE!$I$3:$O$13,N$2,FALSE)*F190</f>
        <v>14.597088215024122</v>
      </c>
      <c r="O190" s="51">
        <f>VLOOKUP($L190,TABLE!$I$3:$O$13,O$2,FALSE)/VLOOKUP($M190,TABLE!$I$3:$O$13,O$2,FALSE)*G190</f>
        <v>12.625848037450488</v>
      </c>
      <c r="P190" s="51">
        <f>VLOOKUP($L190,TABLE!$I$3:$O$13,P$2,FALSE)/VLOOKUP($M190,TABLE!$I$3:$O$13,P$2,FALSE)*H190</f>
        <v>11.623149589508477</v>
      </c>
      <c r="Q190" s="51">
        <f>VLOOKUP($L190,TABLE!$I$3:$O$13,Q$2,FALSE)/VLOOKUP($M190,TABLE!$I$3:$O$13,Q$2,FALSE)*I190</f>
        <v>12.86649180327869</v>
      </c>
      <c r="R190" s="51">
        <f>VLOOKUP($L190,TABLE!$I$3:$O$13,R$2,FALSE)/VLOOKUP($M190,TABLE!$I$3:$O$13,R$2,FALSE)*J190</f>
        <v>13.82080081960215</v>
      </c>
    </row>
    <row r="191" spans="2:18">
      <c r="B191" t="s">
        <v>24</v>
      </c>
      <c r="C191" t="s">
        <v>124</v>
      </c>
      <c r="D191" t="s">
        <v>38</v>
      </c>
      <c r="E191" t="s">
        <v>397</v>
      </c>
      <c r="F191" s="51">
        <v>0.37613999999999997</v>
      </c>
      <c r="G191" s="51">
        <v>0.50520999999999994</v>
      </c>
      <c r="H191" s="51">
        <v>0.39673999999999998</v>
      </c>
      <c r="I191" s="51">
        <v>0.42535000000000001</v>
      </c>
      <c r="J191" s="51">
        <v>0</v>
      </c>
      <c r="L191" t="str">
        <f>VLOOKUP(B191,TABLE!D:E,2,FALSE)</f>
        <v>GBP</v>
      </c>
      <c r="M191" t="str">
        <f t="shared" si="2"/>
        <v>USD</v>
      </c>
      <c r="N191" s="51">
        <f>VLOOKUP($L191,TABLE!$I$3:$O$13,N$2,FALSE)/VLOOKUP($M191,TABLE!$I$3:$O$13,N$2,FALSE)*F191</f>
        <v>0.61006097346657473</v>
      </c>
      <c r="O191" s="51">
        <f>VLOOKUP($L191,TABLE!$I$3:$O$13,O$2,FALSE)/VLOOKUP($M191,TABLE!$I$3:$O$13,O$2,FALSE)*G191</f>
        <v>0.78458852238626819</v>
      </c>
      <c r="P191" s="51">
        <f>VLOOKUP($L191,TABLE!$I$3:$O$13,P$2,FALSE)/VLOOKUP($M191,TABLE!$I$3:$O$13,P$2,FALSE)*H191</f>
        <v>0.61649309734513269</v>
      </c>
      <c r="Q191" s="51">
        <f>VLOOKUP($L191,TABLE!$I$3:$O$13,Q$2,FALSE)/VLOOKUP($M191,TABLE!$I$3:$O$13,Q$2,FALSE)*I191</f>
        <v>0.68753295081967214</v>
      </c>
      <c r="R191" s="51">
        <f>VLOOKUP($L191,TABLE!$I$3:$O$13,R$2,FALSE)/VLOOKUP($M191,TABLE!$I$3:$O$13,R$2,FALSE)*J191</f>
        <v>0</v>
      </c>
    </row>
    <row r="192" spans="2:18">
      <c r="B192" t="s">
        <v>24</v>
      </c>
      <c r="C192" t="s">
        <v>124</v>
      </c>
      <c r="D192" t="s">
        <v>40</v>
      </c>
      <c r="E192" t="s">
        <v>398</v>
      </c>
      <c r="F192" s="51">
        <v>8.6199999999999992</v>
      </c>
      <c r="G192" s="51">
        <v>7.63</v>
      </c>
      <c r="H192" s="51">
        <v>7.08</v>
      </c>
      <c r="I192" s="51">
        <v>7.54</v>
      </c>
      <c r="J192" s="51">
        <v>8.36</v>
      </c>
      <c r="L192" t="str">
        <f>VLOOKUP(B192,TABLE!D:E,2,FALSE)</f>
        <v>GBP</v>
      </c>
      <c r="M192" t="str">
        <f t="shared" si="2"/>
        <v>USD</v>
      </c>
      <c r="N192" s="51">
        <f>VLOOKUP($L192,TABLE!$I$3:$O$13,N$2,FALSE)/VLOOKUP($M192,TABLE!$I$3:$O$13,N$2,FALSE)*F192</f>
        <v>13.980766712611992</v>
      </c>
      <c r="O192" s="51">
        <f>VLOOKUP($L192,TABLE!$I$3:$O$13,O$2,FALSE)/VLOOKUP($M192,TABLE!$I$3:$O$13,O$2,FALSE)*G192</f>
        <v>11.849350618173091</v>
      </c>
      <c r="P192" s="51">
        <f>VLOOKUP($L192,TABLE!$I$3:$O$13,P$2,FALSE)/VLOOKUP($M192,TABLE!$I$3:$O$13,P$2,FALSE)*H192</f>
        <v>11.001590787930484</v>
      </c>
      <c r="Q192" s="51">
        <f>VLOOKUP($L192,TABLE!$I$3:$O$13,Q$2,FALSE)/VLOOKUP($M192,TABLE!$I$3:$O$13,Q$2,FALSE)*I192</f>
        <v>12.18760655737705</v>
      </c>
      <c r="R192" s="51">
        <f>VLOOKUP($L192,TABLE!$I$3:$O$13,R$2,FALSE)/VLOOKUP($M192,TABLE!$I$3:$O$13,R$2,FALSE)*J192</f>
        <v>13.82080081960215</v>
      </c>
    </row>
    <row r="193" spans="2:18">
      <c r="B193" t="s">
        <v>24</v>
      </c>
      <c r="C193" t="s">
        <v>124</v>
      </c>
      <c r="D193" t="s">
        <v>46</v>
      </c>
      <c r="E193" t="s">
        <v>399</v>
      </c>
      <c r="F193" s="51">
        <v>13.6</v>
      </c>
      <c r="G193" s="51">
        <v>-6.21</v>
      </c>
      <c r="H193" s="51">
        <v>20.34</v>
      </c>
      <c r="I193" s="51">
        <v>9.08</v>
      </c>
      <c r="J193" s="51">
        <v>17.29</v>
      </c>
      <c r="L193" t="str">
        <f>VLOOKUP(B193,TABLE!D:E,2,FALSE)</f>
        <v>GBP</v>
      </c>
      <c r="M193" t="str">
        <f t="shared" si="2"/>
        <v>USD</v>
      </c>
      <c r="N193" s="51">
        <f>VLOOKUP($L193,TABLE!$I$3:$O$13,N$2,FALSE)/VLOOKUP($M193,TABLE!$I$3:$O$13,N$2,FALSE)*F193</f>
        <v>22.057822191592006</v>
      </c>
      <c r="O193" s="51">
        <f>VLOOKUP($L193,TABLE!$I$3:$O$13,O$2,FALSE)/VLOOKUP($M193,TABLE!$I$3:$O$13,O$2,FALSE)*G193</f>
        <v>-9.6440979474252799</v>
      </c>
      <c r="P193" s="51">
        <f>VLOOKUP($L193,TABLE!$I$3:$O$13,P$2,FALSE)/VLOOKUP($M193,TABLE!$I$3:$O$13,P$2,FALSE)*H193</f>
        <v>31.606265060240965</v>
      </c>
      <c r="Q193" s="51">
        <f>VLOOKUP($L193,TABLE!$I$3:$O$13,Q$2,FALSE)/VLOOKUP($M193,TABLE!$I$3:$O$13,Q$2,FALSE)*I193</f>
        <v>14.676852459016395</v>
      </c>
      <c r="R193" s="51">
        <f>VLOOKUP($L193,TABLE!$I$3:$O$13,R$2,FALSE)/VLOOKUP($M193,TABLE!$I$3:$O$13,R$2,FALSE)*J193</f>
        <v>28.583928967813538</v>
      </c>
    </row>
    <row r="194" spans="2:18">
      <c r="B194" t="s">
        <v>26</v>
      </c>
      <c r="C194" t="s">
        <v>124</v>
      </c>
      <c r="D194" t="s">
        <v>9</v>
      </c>
      <c r="E194" t="s">
        <v>400</v>
      </c>
      <c r="F194" s="51">
        <v>6.02</v>
      </c>
      <c r="G194" s="51">
        <v>8.59</v>
      </c>
      <c r="H194" s="51">
        <v>7.27</v>
      </c>
      <c r="I194" s="51">
        <v>11.41</v>
      </c>
      <c r="J194" s="51">
        <v>5.85</v>
      </c>
      <c r="L194" t="str">
        <f>VLOOKUP(B194,TABLE!D:E,2,FALSE)</f>
        <v>GBP</v>
      </c>
      <c r="M194" t="str">
        <f t="shared" si="2"/>
        <v>USD</v>
      </c>
      <c r="N194" s="51">
        <f>VLOOKUP($L194,TABLE!$I$3:$O$13,N$2,FALSE)/VLOOKUP($M194,TABLE!$I$3:$O$13,N$2,FALSE)*F194</f>
        <v>9.7638301171605786</v>
      </c>
      <c r="O194" s="51">
        <f>VLOOKUP($L194,TABLE!$I$3:$O$13,O$2,FALSE)/VLOOKUP($M194,TABLE!$I$3:$O$13,O$2,FALSE)*G194</f>
        <v>13.340225663185693</v>
      </c>
      <c r="P194" s="51">
        <f>VLOOKUP($L194,TABLE!$I$3:$O$13,P$2,FALSE)/VLOOKUP($M194,TABLE!$I$3:$O$13,P$2,FALSE)*H194</f>
        <v>11.29683121868003</v>
      </c>
      <c r="Q194" s="51">
        <f>VLOOKUP($L194,TABLE!$I$3:$O$13,Q$2,FALSE)/VLOOKUP($M194,TABLE!$I$3:$O$13,Q$2,FALSE)*I194</f>
        <v>18.443049180327872</v>
      </c>
      <c r="R194" s="51">
        <f>VLOOKUP($L194,TABLE!$I$3:$O$13,R$2,FALSE)/VLOOKUP($M194,TABLE!$I$3:$O$13,R$2,FALSE)*J194</f>
        <v>9.6712541620421746</v>
      </c>
    </row>
    <row r="195" spans="2:18">
      <c r="B195" t="s">
        <v>26</v>
      </c>
      <c r="C195" t="s">
        <v>124</v>
      </c>
      <c r="D195" t="s">
        <v>11</v>
      </c>
      <c r="E195" t="s">
        <v>401</v>
      </c>
      <c r="F195" s="51">
        <v>18.489999999999998</v>
      </c>
      <c r="G195" s="51">
        <v>23.91</v>
      </c>
      <c r="H195" s="51">
        <v>31.08</v>
      </c>
      <c r="I195" s="51">
        <v>24.74</v>
      </c>
      <c r="J195" s="51">
        <v>0</v>
      </c>
      <c r="L195" t="str">
        <f>VLOOKUP(B195,TABLE!D:E,2,FALSE)</f>
        <v>GBP</v>
      </c>
      <c r="M195" t="str">
        <f t="shared" si="2"/>
        <v>USD</v>
      </c>
      <c r="N195" s="51">
        <f>VLOOKUP($L195,TABLE!$I$3:$O$13,N$2,FALSE)/VLOOKUP($M195,TABLE!$I$3:$O$13,N$2,FALSE)*F195</f>
        <v>29.988906788421776</v>
      </c>
      <c r="O195" s="51">
        <f>VLOOKUP($L195,TABLE!$I$3:$O$13,O$2,FALSE)/VLOOKUP($M195,TABLE!$I$3:$O$13,O$2,FALSE)*G195</f>
        <v>37.132106589845165</v>
      </c>
      <c r="P195" s="51">
        <f>VLOOKUP($L195,TABLE!$I$3:$O$13,P$2,FALSE)/VLOOKUP($M195,TABLE!$I$3:$O$13,P$2,FALSE)*H195</f>
        <v>48.295118882610083</v>
      </c>
      <c r="Q195" s="51">
        <f>VLOOKUP($L195,TABLE!$I$3:$O$13,Q$2,FALSE)/VLOOKUP($M195,TABLE!$I$3:$O$13,Q$2,FALSE)*I195</f>
        <v>39.989573770491802</v>
      </c>
      <c r="R195" s="51">
        <f>VLOOKUP($L195,TABLE!$I$3:$O$13,R$2,FALSE)/VLOOKUP($M195,TABLE!$I$3:$O$13,R$2,FALSE)*J195</f>
        <v>0</v>
      </c>
    </row>
    <row r="196" spans="2:18">
      <c r="B196" t="s">
        <v>26</v>
      </c>
      <c r="C196" t="s">
        <v>124</v>
      </c>
      <c r="D196" t="s">
        <v>13</v>
      </c>
      <c r="E196" t="s">
        <v>402</v>
      </c>
      <c r="F196" s="51">
        <v>16.97</v>
      </c>
      <c r="G196" s="51">
        <v>18.739999999999998</v>
      </c>
      <c r="H196" s="51">
        <v>18.64</v>
      </c>
      <c r="I196" s="51">
        <v>18.940000000000001</v>
      </c>
      <c r="J196" s="51">
        <v>0</v>
      </c>
      <c r="L196" t="str">
        <f>VLOOKUP(B196,TABLE!D:E,2,FALSE)</f>
        <v>GBP</v>
      </c>
      <c r="M196" t="str">
        <f t="shared" si="2"/>
        <v>USD</v>
      </c>
      <c r="N196" s="51">
        <f>VLOOKUP($L196,TABLE!$I$3:$O$13,N$2,FALSE)/VLOOKUP($M196,TABLE!$I$3:$O$13,N$2,FALSE)*F196</f>
        <v>27.52362077877326</v>
      </c>
      <c r="O196" s="51">
        <f>VLOOKUP($L196,TABLE!$I$3:$O$13,O$2,FALSE)/VLOOKUP($M196,TABLE!$I$3:$O$13,O$2,FALSE)*G196</f>
        <v>29.103123274516868</v>
      </c>
      <c r="P196" s="51">
        <f>VLOOKUP($L196,TABLE!$I$3:$O$13,P$2,FALSE)/VLOOKUP($M196,TABLE!$I$3:$O$13,P$2,FALSE)*H196</f>
        <v>28.964640153534493</v>
      </c>
      <c r="Q196" s="51">
        <f>VLOOKUP($L196,TABLE!$I$3:$O$13,Q$2,FALSE)/VLOOKUP($M196,TABLE!$I$3:$O$13,Q$2,FALSE)*I196</f>
        <v>30.614491803278693</v>
      </c>
      <c r="R196" s="51">
        <f>VLOOKUP($L196,TABLE!$I$3:$O$13,R$2,FALSE)/VLOOKUP($M196,TABLE!$I$3:$O$13,R$2,FALSE)*J196</f>
        <v>0</v>
      </c>
    </row>
    <row r="197" spans="2:18">
      <c r="B197" t="s">
        <v>26</v>
      </c>
      <c r="C197" t="s">
        <v>124</v>
      </c>
      <c r="D197" t="s">
        <v>15</v>
      </c>
      <c r="E197" t="s">
        <v>403</v>
      </c>
      <c r="F197" s="51">
        <v>59.71</v>
      </c>
      <c r="G197" s="51">
        <v>72.11</v>
      </c>
      <c r="H197" s="51">
        <v>77.069999999999993</v>
      </c>
      <c r="I197" s="51">
        <v>70.58</v>
      </c>
      <c r="J197" s="51">
        <v>62.4</v>
      </c>
      <c r="L197" t="str">
        <f>VLOOKUP(B197,TABLE!D:E,2,FALSE)</f>
        <v>GBP</v>
      </c>
      <c r="M197" t="str">
        <f t="shared" ref="M197:M260" si="3">IF(M$1="LC",L197,M$1)</f>
        <v>USD</v>
      </c>
      <c r="N197" s="51">
        <f>VLOOKUP($L197,TABLE!$I$3:$O$13,N$2,FALSE)/VLOOKUP($M197,TABLE!$I$3:$O$13,N$2,FALSE)*F197</f>
        <v>96.843570813232262</v>
      </c>
      <c r="O197" s="51">
        <f>VLOOKUP($L197,TABLE!$I$3:$O$13,O$2,FALSE)/VLOOKUP($M197,TABLE!$I$3:$O$13,O$2,FALSE)*G197</f>
        <v>111.98645780818632</v>
      </c>
      <c r="P197" s="51">
        <f>VLOOKUP($L197,TABLE!$I$3:$O$13,P$2,FALSE)/VLOOKUP($M197,TABLE!$I$3:$O$13,P$2,FALSE)*H197</f>
        <v>119.75884209403986</v>
      </c>
      <c r="Q197" s="51">
        <f>VLOOKUP($L197,TABLE!$I$3:$O$13,Q$2,FALSE)/VLOOKUP($M197,TABLE!$I$3:$O$13,Q$2,FALSE)*I197</f>
        <v>114.08504918032787</v>
      </c>
      <c r="R197" s="51">
        <f>VLOOKUP($L197,TABLE!$I$3:$O$13,R$2,FALSE)/VLOOKUP($M197,TABLE!$I$3:$O$13,R$2,FALSE)*J197</f>
        <v>103.16004439511653</v>
      </c>
    </row>
    <row r="198" spans="2:18">
      <c r="B198" t="s">
        <v>26</v>
      </c>
      <c r="C198" t="s">
        <v>124</v>
      </c>
      <c r="D198" t="s">
        <v>18</v>
      </c>
      <c r="E198" t="s">
        <v>404</v>
      </c>
      <c r="F198" s="51">
        <v>180.86</v>
      </c>
      <c r="G198" s="51">
        <v>206.02</v>
      </c>
      <c r="H198" s="51">
        <v>222.16</v>
      </c>
      <c r="I198" s="51">
        <v>221.67</v>
      </c>
      <c r="J198" s="51">
        <v>215.86</v>
      </c>
      <c r="L198" t="str">
        <f>VLOOKUP(B198,TABLE!D:E,2,FALSE)</f>
        <v>GBP</v>
      </c>
      <c r="M198" t="str">
        <f t="shared" si="3"/>
        <v>USD</v>
      </c>
      <c r="N198" s="51">
        <f>VLOOKUP($L198,TABLE!$I$3:$O$13,N$2,FALSE)/VLOOKUP($M198,TABLE!$I$3:$O$13,N$2,FALSE)*F198</f>
        <v>293.33659717436257</v>
      </c>
      <c r="O198" s="51">
        <f>VLOOKUP($L198,TABLE!$I$3:$O$13,O$2,FALSE)/VLOOKUP($M198,TABLE!$I$3:$O$13,O$2,FALSE)*G198</f>
        <v>319.947996639059</v>
      </c>
      <c r="P198" s="51">
        <f>VLOOKUP($L198,TABLE!$I$3:$O$13,P$2,FALSE)/VLOOKUP($M198,TABLE!$I$3:$O$13,P$2,FALSE)*H198</f>
        <v>345.21375839641752</v>
      </c>
      <c r="Q198" s="51">
        <f>VLOOKUP($L198,TABLE!$I$3:$O$13,Q$2,FALSE)/VLOOKUP($M198,TABLE!$I$3:$O$13,Q$2,FALSE)*I198</f>
        <v>358.3059344262295</v>
      </c>
      <c r="R198" s="51">
        <f>VLOOKUP($L198,TABLE!$I$3:$O$13,R$2,FALSE)/VLOOKUP($M198,TABLE!$I$3:$O$13,R$2,FALSE)*J198</f>
        <v>356.86101255015797</v>
      </c>
    </row>
    <row r="199" spans="2:18">
      <c r="B199" t="s">
        <v>26</v>
      </c>
      <c r="C199" t="s">
        <v>124</v>
      </c>
      <c r="D199" t="s">
        <v>21</v>
      </c>
      <c r="E199" t="s">
        <v>405</v>
      </c>
      <c r="F199" s="51">
        <v>52.48</v>
      </c>
      <c r="G199" s="51">
        <v>64.22</v>
      </c>
      <c r="H199" s="51">
        <v>66.06</v>
      </c>
      <c r="I199" s="51">
        <v>59.66</v>
      </c>
      <c r="J199" s="51">
        <v>56.31</v>
      </c>
      <c r="L199" t="str">
        <f>VLOOKUP(B199,TABLE!D:E,2,FALSE)</f>
        <v>GBP</v>
      </c>
      <c r="M199" t="str">
        <f t="shared" si="3"/>
        <v>USD</v>
      </c>
      <c r="N199" s="51">
        <f>VLOOKUP($L199,TABLE!$I$3:$O$13,N$2,FALSE)/VLOOKUP($M199,TABLE!$I$3:$O$13,N$2,FALSE)*F199</f>
        <v>85.117243280496211</v>
      </c>
      <c r="O199" s="51">
        <f>VLOOKUP($L199,TABLE!$I$3:$O$13,O$2,FALSE)/VLOOKUP($M199,TABLE!$I$3:$O$13,O$2,FALSE)*G199</f>
        <v>99.733328531988974</v>
      </c>
      <c r="P199" s="51">
        <f>VLOOKUP($L199,TABLE!$I$3:$O$13,P$2,FALSE)/VLOOKUP($M199,TABLE!$I$3:$O$13,P$2,FALSE)*H199</f>
        <v>102.65043608060562</v>
      </c>
      <c r="Q199" s="51">
        <f>VLOOKUP($L199,TABLE!$I$3:$O$13,Q$2,FALSE)/VLOOKUP($M199,TABLE!$I$3:$O$13,Q$2,FALSE)*I199</f>
        <v>96.43403278688524</v>
      </c>
      <c r="R199" s="51">
        <f>VLOOKUP($L199,TABLE!$I$3:$O$13,R$2,FALSE)/VLOOKUP($M199,TABLE!$I$3:$O$13,R$2,FALSE)*J199</f>
        <v>93.092020831554677</v>
      </c>
    </row>
    <row r="200" spans="2:18">
      <c r="B200" t="s">
        <v>26</v>
      </c>
      <c r="C200" t="s">
        <v>124</v>
      </c>
      <c r="D200" t="s">
        <v>20</v>
      </c>
      <c r="E200" t="s">
        <v>406</v>
      </c>
      <c r="F200" s="51">
        <v>18.190000000000001</v>
      </c>
      <c r="G200" s="51">
        <v>22.02</v>
      </c>
      <c r="H200" s="51">
        <v>28.86</v>
      </c>
      <c r="I200" s="51">
        <v>26.11</v>
      </c>
      <c r="J200" s="51">
        <v>0</v>
      </c>
      <c r="L200" t="str">
        <f>VLOOKUP(B200,TABLE!D:E,2,FALSE)</f>
        <v>GBP</v>
      </c>
      <c r="M200" t="str">
        <f t="shared" si="3"/>
        <v>USD</v>
      </c>
      <c r="N200" s="51">
        <f>VLOOKUP($L200,TABLE!$I$3:$O$13,N$2,FALSE)/VLOOKUP($M200,TABLE!$I$3:$O$13,N$2,FALSE)*F200</f>
        <v>29.502337181254312</v>
      </c>
      <c r="O200" s="51">
        <f>VLOOKUP($L200,TABLE!$I$3:$O$13,O$2,FALSE)/VLOOKUP($M200,TABLE!$I$3:$O$13,O$2,FALSE)*G200</f>
        <v>34.196946344976595</v>
      </c>
      <c r="P200" s="51">
        <f>VLOOKUP($L200,TABLE!$I$3:$O$13,P$2,FALSE)/VLOOKUP($M200,TABLE!$I$3:$O$13,P$2,FALSE)*H200</f>
        <v>44.845467533852222</v>
      </c>
      <c r="Q200" s="51">
        <f>VLOOKUP($L200,TABLE!$I$3:$O$13,Q$2,FALSE)/VLOOKUP($M200,TABLE!$I$3:$O$13,Q$2,FALSE)*I200</f>
        <v>42.20403278688525</v>
      </c>
      <c r="R200" s="51">
        <f>VLOOKUP($L200,TABLE!$I$3:$O$13,R$2,FALSE)/VLOOKUP($M200,TABLE!$I$3:$O$13,R$2,FALSE)*J200</f>
        <v>0</v>
      </c>
    </row>
    <row r="201" spans="2:18">
      <c r="B201" t="s">
        <v>26</v>
      </c>
      <c r="C201" t="s">
        <v>124</v>
      </c>
      <c r="D201" t="s">
        <v>25</v>
      </c>
      <c r="E201" t="s">
        <v>407</v>
      </c>
      <c r="F201" s="51">
        <v>85.51</v>
      </c>
      <c r="G201" s="51">
        <v>95.67</v>
      </c>
      <c r="H201" s="51">
        <v>110.03</v>
      </c>
      <c r="I201" s="51">
        <v>116.84</v>
      </c>
      <c r="J201" s="51">
        <v>109.37</v>
      </c>
      <c r="L201" t="str">
        <f>VLOOKUP(B201,TABLE!D:E,2,FALSE)</f>
        <v>GBP</v>
      </c>
      <c r="M201" t="str">
        <f t="shared" si="3"/>
        <v>USD</v>
      </c>
      <c r="N201" s="51">
        <f>VLOOKUP($L201,TABLE!$I$3:$O$13,N$2,FALSE)/VLOOKUP($M201,TABLE!$I$3:$O$13,N$2,FALSE)*F201</f>
        <v>138.68855702963475</v>
      </c>
      <c r="O201" s="51">
        <f>VLOOKUP($L201,TABLE!$I$3:$O$13,O$2,FALSE)/VLOOKUP($M201,TABLE!$I$3:$O$13,O$2,FALSE)*G201</f>
        <v>148.57501620453729</v>
      </c>
      <c r="P201" s="51">
        <f>VLOOKUP($L201,TABLE!$I$3:$O$13,P$2,FALSE)/VLOOKUP($M201,TABLE!$I$3:$O$13,P$2,FALSE)*H201</f>
        <v>170.97528734406654</v>
      </c>
      <c r="Q201" s="51">
        <f>VLOOKUP($L201,TABLE!$I$3:$O$13,Q$2,FALSE)/VLOOKUP($M201,TABLE!$I$3:$O$13,Q$2,FALSE)*I201</f>
        <v>188.85940983606559</v>
      </c>
      <c r="R201" s="51">
        <f>VLOOKUP($L201,TABLE!$I$3:$O$13,R$2,FALSE)/VLOOKUP($M201,TABLE!$I$3:$O$13,R$2,FALSE)*J201</f>
        <v>180.81112268419704</v>
      </c>
    </row>
    <row r="202" spans="2:18">
      <c r="B202" t="s">
        <v>26</v>
      </c>
      <c r="C202" t="s">
        <v>124</v>
      </c>
      <c r="D202" t="s">
        <v>30</v>
      </c>
      <c r="E202" t="s">
        <v>408</v>
      </c>
      <c r="F202" s="51">
        <v>176.99</v>
      </c>
      <c r="G202" s="51">
        <v>238.39</v>
      </c>
      <c r="H202" s="51">
        <v>293.29000000000002</v>
      </c>
      <c r="I202" s="51">
        <v>294.81</v>
      </c>
      <c r="J202" s="51">
        <v>288.68</v>
      </c>
      <c r="L202" t="str">
        <f>VLOOKUP(B202,TABLE!D:E,2,FALSE)</f>
        <v>GBP</v>
      </c>
      <c r="M202" t="str">
        <f t="shared" si="3"/>
        <v>USD</v>
      </c>
      <c r="N202" s="51">
        <f>VLOOKUP($L202,TABLE!$I$3:$O$13,N$2,FALSE)/VLOOKUP($M202,TABLE!$I$3:$O$13,N$2,FALSE)*F202</f>
        <v>287.05984924190216</v>
      </c>
      <c r="O202" s="51">
        <f>VLOOKUP($L202,TABLE!$I$3:$O$13,O$2,FALSE)/VLOOKUP($M202,TABLE!$I$3:$O$13,O$2,FALSE)*G202</f>
        <v>370.21843956307771</v>
      </c>
      <c r="P202" s="51">
        <f>VLOOKUP($L202,TABLE!$I$3:$O$13,P$2,FALSE)/VLOOKUP($M202,TABLE!$I$3:$O$13,P$2,FALSE)*H202</f>
        <v>455.74245228702426</v>
      </c>
      <c r="Q202" s="51">
        <f>VLOOKUP($L202,TABLE!$I$3:$O$13,Q$2,FALSE)/VLOOKUP($M202,TABLE!$I$3:$O$13,Q$2,FALSE)*I202</f>
        <v>476.52895081967216</v>
      </c>
      <c r="R202" s="51">
        <f>VLOOKUP($L202,TABLE!$I$3:$O$13,R$2,FALSE)/VLOOKUP($M202,TABLE!$I$3:$O$13,R$2,FALSE)*J202</f>
        <v>477.2474617945872</v>
      </c>
    </row>
    <row r="203" spans="2:18">
      <c r="B203" t="s">
        <v>26</v>
      </c>
      <c r="C203" t="s">
        <v>124</v>
      </c>
      <c r="D203" t="s">
        <v>34</v>
      </c>
      <c r="E203" t="s">
        <v>409</v>
      </c>
      <c r="F203" s="51">
        <v>22.26</v>
      </c>
      <c r="G203" s="51">
        <v>29.57</v>
      </c>
      <c r="H203" s="51">
        <v>37.229999999999997</v>
      </c>
      <c r="I203" s="51">
        <v>34.409999999999997</v>
      </c>
      <c r="J203" s="51">
        <v>27.42</v>
      </c>
      <c r="L203" t="str">
        <f>VLOOKUP(B203,TABLE!D:E,2,FALSE)</f>
        <v>GBP</v>
      </c>
      <c r="M203" t="str">
        <f t="shared" si="3"/>
        <v>USD</v>
      </c>
      <c r="N203" s="51">
        <f>VLOOKUP($L203,TABLE!$I$3:$O$13,N$2,FALSE)/VLOOKUP($M203,TABLE!$I$3:$O$13,N$2,FALSE)*F203</f>
        <v>36.103464851826331</v>
      </c>
      <c r="O203" s="51">
        <f>VLOOKUP($L203,TABLE!$I$3:$O$13,O$2,FALSE)/VLOOKUP($M203,TABLE!$I$3:$O$13,O$2,FALSE)*G203</f>
        <v>45.922057376065304</v>
      </c>
      <c r="P203" s="51">
        <f>VLOOKUP($L203,TABLE!$I$3:$O$13,P$2,FALSE)/VLOOKUP($M203,TABLE!$I$3:$O$13,P$2,FALSE)*H203</f>
        <v>57.851585456871732</v>
      </c>
      <c r="Q203" s="51">
        <f>VLOOKUP($L203,TABLE!$I$3:$O$13,Q$2,FALSE)/VLOOKUP($M203,TABLE!$I$3:$O$13,Q$2,FALSE)*I203</f>
        <v>55.620098360655739</v>
      </c>
      <c r="R203" s="51">
        <f>VLOOKUP($L203,TABLE!$I$3:$O$13,R$2,FALSE)/VLOOKUP($M203,TABLE!$I$3:$O$13,R$2,FALSE)*J203</f>
        <v>45.330904123623327</v>
      </c>
    </row>
    <row r="204" spans="2:18">
      <c r="B204" t="s">
        <v>26</v>
      </c>
      <c r="C204" t="s">
        <v>124</v>
      </c>
      <c r="D204" t="s">
        <v>48</v>
      </c>
      <c r="E204" t="s">
        <v>410</v>
      </c>
      <c r="F204" s="51">
        <v>7.96</v>
      </c>
      <c r="G204" s="51">
        <v>13.04</v>
      </c>
      <c r="H204" s="51">
        <v>19.29</v>
      </c>
      <c r="I204" s="51">
        <v>16.78</v>
      </c>
      <c r="J204" s="51">
        <v>10.47</v>
      </c>
      <c r="L204" t="str">
        <f>VLOOKUP(B204,TABLE!D:E,2,FALSE)</f>
        <v>GBP</v>
      </c>
      <c r="M204" t="str">
        <f t="shared" si="3"/>
        <v>USD</v>
      </c>
      <c r="N204" s="51">
        <f>VLOOKUP($L204,TABLE!$I$3:$O$13,N$2,FALSE)/VLOOKUP($M204,TABLE!$I$3:$O$13,N$2,FALSE)*F204</f>
        <v>12.910313576843556</v>
      </c>
      <c r="O204" s="51">
        <f>VLOOKUP($L204,TABLE!$I$3:$O$13,O$2,FALSE)/VLOOKUP($M204,TABLE!$I$3:$O$13,O$2,FALSE)*G204</f>
        <v>20.251052694754534</v>
      </c>
      <c r="P204" s="51">
        <f>VLOOKUP($L204,TABLE!$I$3:$O$13,P$2,FALSE)/VLOOKUP($M204,TABLE!$I$3:$O$13,P$2,FALSE)*H204</f>
        <v>29.974673206098732</v>
      </c>
      <c r="Q204" s="51">
        <f>VLOOKUP($L204,TABLE!$I$3:$O$13,Q$2,FALSE)/VLOOKUP($M204,TABLE!$I$3:$O$13,Q$2,FALSE)*I204</f>
        <v>27.123081967213118</v>
      </c>
      <c r="R204" s="51">
        <f>VLOOKUP($L204,TABLE!$I$3:$O$13,R$2,FALSE)/VLOOKUP($M204,TABLE!$I$3:$O$13,R$2,FALSE)*J204</f>
        <v>17.309065141295996</v>
      </c>
    </row>
    <row r="205" spans="2:18">
      <c r="B205" t="s">
        <v>26</v>
      </c>
      <c r="C205" t="s">
        <v>124</v>
      </c>
      <c r="D205" t="s">
        <v>50</v>
      </c>
      <c r="E205" t="s">
        <v>411</v>
      </c>
      <c r="F205" s="51">
        <v>18.5</v>
      </c>
      <c r="G205" s="51">
        <v>27.1</v>
      </c>
      <c r="H205" s="51">
        <v>34.9</v>
      </c>
      <c r="I205" s="51">
        <v>32.89</v>
      </c>
      <c r="J205" s="51">
        <v>30.95</v>
      </c>
      <c r="L205" t="str">
        <f>VLOOKUP(B205,TABLE!D:E,2,FALSE)</f>
        <v>GBP</v>
      </c>
      <c r="M205" t="str">
        <f t="shared" si="3"/>
        <v>USD</v>
      </c>
      <c r="N205" s="51">
        <f>VLOOKUP($L205,TABLE!$I$3:$O$13,N$2,FALSE)/VLOOKUP($M205,TABLE!$I$3:$O$13,N$2,FALSE)*F205</f>
        <v>30.005125775327361</v>
      </c>
      <c r="O205" s="51">
        <f>VLOOKUP($L205,TABLE!$I$3:$O$13,O$2,FALSE)/VLOOKUP($M205,TABLE!$I$3:$O$13,O$2,FALSE)*G205</f>
        <v>42.086160124834961</v>
      </c>
      <c r="P205" s="51">
        <f>VLOOKUP($L205,TABLE!$I$3:$O$13,P$2,FALSE)/VLOOKUP($M205,TABLE!$I$3:$O$13,P$2,FALSE)*H205</f>
        <v>54.231005437679926</v>
      </c>
      <c r="Q205" s="51">
        <f>VLOOKUP($L205,TABLE!$I$3:$O$13,Q$2,FALSE)/VLOOKUP($M205,TABLE!$I$3:$O$13,Q$2,FALSE)*I205</f>
        <v>53.163180327868858</v>
      </c>
      <c r="R205" s="51">
        <f>VLOOKUP($L205,TABLE!$I$3:$O$13,R$2,FALSE)/VLOOKUP($M205,TABLE!$I$3:$O$13,R$2,FALSE)*J205</f>
        <v>51.166720737641931</v>
      </c>
    </row>
    <row r="206" spans="2:18">
      <c r="B206" t="s">
        <v>26</v>
      </c>
      <c r="C206" t="s">
        <v>124</v>
      </c>
      <c r="D206" t="s">
        <v>44</v>
      </c>
      <c r="E206" t="s">
        <v>412</v>
      </c>
      <c r="F206" s="51">
        <v>-0.11834</v>
      </c>
      <c r="G206" s="51">
        <v>0.16128000000000001</v>
      </c>
      <c r="H206" s="51">
        <v>0.38550999999999996</v>
      </c>
      <c r="I206" s="51">
        <v>0.43166000000000004</v>
      </c>
      <c r="J206" s="51">
        <v>1.05</v>
      </c>
      <c r="L206" t="str">
        <f>VLOOKUP(B206,TABLE!D:E,2,FALSE)</f>
        <v>GBP</v>
      </c>
      <c r="M206" t="str">
        <f t="shared" si="3"/>
        <v>USD</v>
      </c>
      <c r="N206" s="51">
        <f>VLOOKUP($L206,TABLE!$I$3:$O$13,N$2,FALSE)/VLOOKUP($M206,TABLE!$I$3:$O$13,N$2,FALSE)*F206</f>
        <v>-0.19193549104066163</v>
      </c>
      <c r="O206" s="51">
        <f>VLOOKUP($L206,TABLE!$I$3:$O$13,O$2,FALSE)/VLOOKUP($M206,TABLE!$I$3:$O$13,O$2,FALSE)*G206</f>
        <v>0.25046700756211743</v>
      </c>
      <c r="P206" s="51">
        <f>VLOOKUP($L206,TABLE!$I$3:$O$13,P$2,FALSE)/VLOOKUP($M206,TABLE!$I$3:$O$13,P$2,FALSE)*H206</f>
        <v>0.59904283399083058</v>
      </c>
      <c r="Q206" s="51">
        <f>VLOOKUP($L206,TABLE!$I$3:$O$13,Q$2,FALSE)/VLOOKUP($M206,TABLE!$I$3:$O$13,Q$2,FALSE)*I206</f>
        <v>0.69773239344262306</v>
      </c>
      <c r="R206" s="51">
        <f>VLOOKUP($L206,TABLE!$I$3:$O$13,R$2,FALSE)/VLOOKUP($M206,TABLE!$I$3:$O$13,R$2,FALSE)*J206</f>
        <v>1.7358661316485957</v>
      </c>
    </row>
    <row r="207" spans="2:18">
      <c r="B207" t="s">
        <v>26</v>
      </c>
      <c r="C207" t="s">
        <v>124</v>
      </c>
      <c r="D207" t="s">
        <v>42</v>
      </c>
      <c r="E207" t="s">
        <v>413</v>
      </c>
      <c r="F207" s="51">
        <v>0.24431</v>
      </c>
      <c r="G207" s="51">
        <v>9.9099999999999994E-2</v>
      </c>
      <c r="H207" s="51">
        <v>0.13037000000000001</v>
      </c>
      <c r="I207" s="51">
        <v>0.13505</v>
      </c>
      <c r="J207" s="51">
        <v>0.6967000000000001</v>
      </c>
      <c r="L207" t="str">
        <f>VLOOKUP(B207,TABLE!D:E,2,FALSE)</f>
        <v>GBP</v>
      </c>
      <c r="M207" t="str">
        <f t="shared" si="3"/>
        <v>USD</v>
      </c>
      <c r="N207" s="51">
        <f>VLOOKUP($L207,TABLE!$I$3:$O$13,N$2,FALSE)/VLOOKUP($M207,TABLE!$I$3:$O$13,N$2,FALSE)*F207</f>
        <v>0.39624606909028259</v>
      </c>
      <c r="O207" s="51">
        <f>VLOOKUP($L207,TABLE!$I$3:$O$13,O$2,FALSE)/VLOOKUP($M207,TABLE!$I$3:$O$13,O$2,FALSE)*G207</f>
        <v>0.15390178850078023</v>
      </c>
      <c r="P207" s="51">
        <f>VLOOKUP($L207,TABLE!$I$3:$O$13,P$2,FALSE)/VLOOKUP($M207,TABLE!$I$3:$O$13,P$2,FALSE)*H207</f>
        <v>0.20258155240430753</v>
      </c>
      <c r="Q207" s="51">
        <f>VLOOKUP($L207,TABLE!$I$3:$O$13,Q$2,FALSE)/VLOOKUP($M207,TABLE!$I$3:$O$13,Q$2,FALSE)*I207</f>
        <v>0.21829393442622952</v>
      </c>
      <c r="R207" s="51">
        <f>VLOOKUP($L207,TABLE!$I$3:$O$13,R$2,FALSE)/VLOOKUP($M207,TABLE!$I$3:$O$13,R$2,FALSE)*J207</f>
        <v>1.1517885084948349</v>
      </c>
    </row>
    <row r="208" spans="2:18">
      <c r="B208" t="s">
        <v>26</v>
      </c>
      <c r="C208" t="s">
        <v>124</v>
      </c>
      <c r="D208" t="s">
        <v>145</v>
      </c>
      <c r="E208" t="s">
        <v>414</v>
      </c>
      <c r="F208" s="51"/>
      <c r="G208" s="51"/>
      <c r="H208" s="51"/>
      <c r="I208" s="51"/>
      <c r="J208" s="51"/>
      <c r="L208" t="str">
        <f>VLOOKUP(B208,TABLE!D:E,2,FALSE)</f>
        <v>GBP</v>
      </c>
      <c r="M208" t="str">
        <f t="shared" si="3"/>
        <v>USD</v>
      </c>
      <c r="N208" s="51">
        <f>VLOOKUP($L208,TABLE!$I$3:$O$13,N$2,FALSE)/VLOOKUP($M208,TABLE!$I$3:$O$13,N$2,FALSE)*F208</f>
        <v>0</v>
      </c>
      <c r="O208" s="51">
        <f>VLOOKUP($L208,TABLE!$I$3:$O$13,O$2,FALSE)/VLOOKUP($M208,TABLE!$I$3:$O$13,O$2,FALSE)*G208</f>
        <v>0</v>
      </c>
      <c r="P208" s="51">
        <f>VLOOKUP($L208,TABLE!$I$3:$O$13,P$2,FALSE)/VLOOKUP($M208,TABLE!$I$3:$O$13,P$2,FALSE)*H208</f>
        <v>0</v>
      </c>
      <c r="Q208" s="51">
        <f>VLOOKUP($L208,TABLE!$I$3:$O$13,Q$2,FALSE)/VLOOKUP($M208,TABLE!$I$3:$O$13,Q$2,FALSE)*I208</f>
        <v>0</v>
      </c>
      <c r="R208" s="51">
        <f>VLOOKUP($L208,TABLE!$I$3:$O$13,R$2,FALSE)/VLOOKUP($M208,TABLE!$I$3:$O$13,R$2,FALSE)*J208</f>
        <v>0</v>
      </c>
    </row>
    <row r="209" spans="2:18">
      <c r="B209" t="s">
        <v>26</v>
      </c>
      <c r="C209" t="s">
        <v>124</v>
      </c>
      <c r="D209" t="s">
        <v>36</v>
      </c>
      <c r="E209" t="s">
        <v>415</v>
      </c>
      <c r="F209" s="51">
        <v>11.81</v>
      </c>
      <c r="G209" s="51">
        <v>10.72</v>
      </c>
      <c r="H209" s="51">
        <v>9.64</v>
      </c>
      <c r="I209" s="51">
        <v>10.050000000000001</v>
      </c>
      <c r="J209" s="51">
        <v>10.23</v>
      </c>
      <c r="L209" t="str">
        <f>VLOOKUP(B209,TABLE!D:E,2,FALSE)</f>
        <v>GBP</v>
      </c>
      <c r="M209" t="str">
        <f t="shared" si="3"/>
        <v>USD</v>
      </c>
      <c r="N209" s="51">
        <f>VLOOKUP($L209,TABLE!$I$3:$O$13,N$2,FALSE)/VLOOKUP($M209,TABLE!$I$3:$O$13,N$2,FALSE)*F209</f>
        <v>19.154623535492764</v>
      </c>
      <c r="O209" s="51">
        <f>VLOOKUP($L209,TABLE!$I$3:$O$13,O$2,FALSE)/VLOOKUP($M209,TABLE!$I$3:$O$13,O$2,FALSE)*G209</f>
        <v>16.648104669307411</v>
      </c>
      <c r="P209" s="51">
        <f>VLOOKUP($L209,TABLE!$I$3:$O$13,P$2,FALSE)/VLOOKUP($M209,TABLE!$I$3:$O$13,P$2,FALSE)*H209</f>
        <v>14.979567118029642</v>
      </c>
      <c r="Q209" s="51">
        <f>VLOOKUP($L209,TABLE!$I$3:$O$13,Q$2,FALSE)/VLOOKUP($M209,TABLE!$I$3:$O$13,Q$2,FALSE)*I209</f>
        <v>16.244754098360659</v>
      </c>
      <c r="R209" s="51">
        <f>VLOOKUP($L209,TABLE!$I$3:$O$13,R$2,FALSE)/VLOOKUP($M209,TABLE!$I$3:$O$13,R$2,FALSE)*J209</f>
        <v>16.912295739776319</v>
      </c>
    </row>
    <row r="210" spans="2:18">
      <c r="B210" t="s">
        <v>26</v>
      </c>
      <c r="C210" t="s">
        <v>124</v>
      </c>
      <c r="D210" t="s">
        <v>38</v>
      </c>
      <c r="E210" t="s">
        <v>416</v>
      </c>
      <c r="F210" s="51">
        <v>0.71575</v>
      </c>
      <c r="G210" s="51">
        <v>0.66000999999999999</v>
      </c>
      <c r="H210" s="51">
        <v>0.70177999999999996</v>
      </c>
      <c r="I210" s="51">
        <v>0.82923999999999998</v>
      </c>
      <c r="J210" s="51">
        <v>0.84320000000000006</v>
      </c>
      <c r="L210" t="str">
        <f>VLOOKUP(B210,TABLE!D:E,2,FALSE)</f>
        <v>GBP</v>
      </c>
      <c r="M210" t="str">
        <f t="shared" si="3"/>
        <v>USD</v>
      </c>
      <c r="N210" s="51">
        <f>VLOOKUP($L210,TABLE!$I$3:$O$13,N$2,FALSE)/VLOOKUP($M210,TABLE!$I$3:$O$13,N$2,FALSE)*F210</f>
        <v>1.1608739877670573</v>
      </c>
      <c r="O210" s="51">
        <f>VLOOKUP($L210,TABLE!$I$3:$O$13,O$2,FALSE)/VLOOKUP($M210,TABLE!$I$3:$O$13,O$2,FALSE)*G210</f>
        <v>1.0249921233945507</v>
      </c>
      <c r="P210" s="51">
        <f>VLOOKUP($L210,TABLE!$I$3:$O$13,P$2,FALSE)/VLOOKUP($M210,TABLE!$I$3:$O$13,P$2,FALSE)*H210</f>
        <v>1.0904938394285104</v>
      </c>
      <c r="Q210" s="51">
        <f>VLOOKUP($L210,TABLE!$I$3:$O$13,Q$2,FALSE)/VLOOKUP($M210,TABLE!$I$3:$O$13,Q$2,FALSE)*I210</f>
        <v>1.3403780983606557</v>
      </c>
      <c r="R210" s="51">
        <f>VLOOKUP($L210,TABLE!$I$3:$O$13,R$2,FALSE)/VLOOKUP($M210,TABLE!$I$3:$O$13,R$2,FALSE)*J210</f>
        <v>1.3939831640058056</v>
      </c>
    </row>
    <row r="211" spans="2:18">
      <c r="B211" t="s">
        <v>26</v>
      </c>
      <c r="C211" t="s">
        <v>124</v>
      </c>
      <c r="D211" t="s">
        <v>40</v>
      </c>
      <c r="E211" t="s">
        <v>417</v>
      </c>
      <c r="F211" s="51">
        <v>11.09</v>
      </c>
      <c r="G211" s="51">
        <v>10.06</v>
      </c>
      <c r="H211" s="51">
        <v>8.94</v>
      </c>
      <c r="I211" s="51">
        <v>9.2200000000000006</v>
      </c>
      <c r="J211" s="51">
        <v>9.39</v>
      </c>
      <c r="L211" t="str">
        <f>VLOOKUP(B211,TABLE!D:E,2,FALSE)</f>
        <v>GBP</v>
      </c>
      <c r="M211" t="str">
        <f t="shared" si="3"/>
        <v>USD</v>
      </c>
      <c r="N211" s="51">
        <f>VLOOKUP($L211,TABLE!$I$3:$O$13,N$2,FALSE)/VLOOKUP($M211,TABLE!$I$3:$O$13,N$2,FALSE)*F211</f>
        <v>17.986856478290836</v>
      </c>
      <c r="O211" s="51">
        <f>VLOOKUP($L211,TABLE!$I$3:$O$13,O$2,FALSE)/VLOOKUP($M211,TABLE!$I$3:$O$13,O$2,FALSE)*G211</f>
        <v>15.623128075861244</v>
      </c>
      <c r="P211" s="51">
        <f>VLOOKUP($L211,TABLE!$I$3:$O$13,P$2,FALSE)/VLOOKUP($M211,TABLE!$I$3:$O$13,P$2,FALSE)*H211</f>
        <v>13.891839215268153</v>
      </c>
      <c r="Q211" s="51">
        <f>VLOOKUP($L211,TABLE!$I$3:$O$13,Q$2,FALSE)/VLOOKUP($M211,TABLE!$I$3:$O$13,Q$2,FALSE)*I211</f>
        <v>14.903147540983609</v>
      </c>
      <c r="R211" s="51">
        <f>VLOOKUP($L211,TABLE!$I$3:$O$13,R$2,FALSE)/VLOOKUP($M211,TABLE!$I$3:$O$13,R$2,FALSE)*J211</f>
        <v>15.52360283445744</v>
      </c>
    </row>
    <row r="212" spans="2:18">
      <c r="B212" t="s">
        <v>26</v>
      </c>
      <c r="C212" t="s">
        <v>124</v>
      </c>
      <c r="D212" t="s">
        <v>46</v>
      </c>
      <c r="E212" t="s">
        <v>418</v>
      </c>
      <c r="F212" s="51">
        <v>13.37</v>
      </c>
      <c r="G212" s="51">
        <v>22.89</v>
      </c>
      <c r="H212" s="51">
        <v>29.27</v>
      </c>
      <c r="I212" s="51">
        <v>26.09</v>
      </c>
      <c r="J212" s="51">
        <v>16.84</v>
      </c>
      <c r="L212" t="str">
        <f>VLOOKUP(B212,TABLE!D:E,2,FALSE)</f>
        <v>GBP</v>
      </c>
      <c r="M212" t="str">
        <f t="shared" si="3"/>
        <v>USD</v>
      </c>
      <c r="N212" s="51">
        <f>VLOOKUP($L212,TABLE!$I$3:$O$13,N$2,FALSE)/VLOOKUP($M212,TABLE!$I$3:$O$13,N$2,FALSE)*F212</f>
        <v>21.684785492763609</v>
      </c>
      <c r="O212" s="51">
        <f>VLOOKUP($L212,TABLE!$I$3:$O$13,O$2,FALSE)/VLOOKUP($M212,TABLE!$I$3:$O$13,O$2,FALSE)*G212</f>
        <v>35.548051854519272</v>
      </c>
      <c r="P212" s="51">
        <f>VLOOKUP($L212,TABLE!$I$3:$O$13,P$2,FALSE)/VLOOKUP($M212,TABLE!$I$3:$O$13,P$2,FALSE)*H212</f>
        <v>45.48256530546967</v>
      </c>
      <c r="Q212" s="51">
        <f>VLOOKUP($L212,TABLE!$I$3:$O$13,Q$2,FALSE)/VLOOKUP($M212,TABLE!$I$3:$O$13,Q$2,FALSE)*I212</f>
        <v>42.171704918032788</v>
      </c>
      <c r="R212" s="51">
        <f>VLOOKUP($L212,TABLE!$I$3:$O$13,R$2,FALSE)/VLOOKUP($M212,TABLE!$I$3:$O$13,R$2,FALSE)*J212</f>
        <v>27.839986339964142</v>
      </c>
    </row>
    <row r="213" spans="2:18">
      <c r="B213" t="s">
        <v>28</v>
      </c>
      <c r="C213" t="s">
        <v>124</v>
      </c>
      <c r="D213" t="s">
        <v>9</v>
      </c>
      <c r="E213" t="s">
        <v>419</v>
      </c>
      <c r="F213" s="51">
        <v>10.86</v>
      </c>
      <c r="G213" s="51">
        <v>8.4600000000000009</v>
      </c>
      <c r="H213" s="51">
        <v>13.07</v>
      </c>
      <c r="I213" s="51">
        <v>9.92</v>
      </c>
      <c r="J213" s="51">
        <v>4.91</v>
      </c>
      <c r="L213" t="str">
        <f>VLOOKUP(B213,TABLE!D:E,2,FALSE)</f>
        <v>USD</v>
      </c>
      <c r="M213" t="str">
        <f t="shared" si="3"/>
        <v>USD</v>
      </c>
      <c r="N213" s="51">
        <f>VLOOKUP($L213,TABLE!$I$3:$O$13,N$2,FALSE)/VLOOKUP($M213,TABLE!$I$3:$O$13,N$2,FALSE)*F213</f>
        <v>10.86</v>
      </c>
      <c r="O213" s="51">
        <f>VLOOKUP($L213,TABLE!$I$3:$O$13,O$2,FALSE)/VLOOKUP($M213,TABLE!$I$3:$O$13,O$2,FALSE)*G213</f>
        <v>8.4600000000000009</v>
      </c>
      <c r="P213" s="51">
        <f>VLOOKUP($L213,TABLE!$I$3:$O$13,P$2,FALSE)/VLOOKUP($M213,TABLE!$I$3:$O$13,P$2,FALSE)*H213</f>
        <v>13.07</v>
      </c>
      <c r="Q213" s="51">
        <f>VLOOKUP($L213,TABLE!$I$3:$O$13,Q$2,FALSE)/VLOOKUP($M213,TABLE!$I$3:$O$13,Q$2,FALSE)*I213</f>
        <v>9.92</v>
      </c>
      <c r="R213" s="51">
        <f>VLOOKUP($L213,TABLE!$I$3:$O$13,R$2,FALSE)/VLOOKUP($M213,TABLE!$I$3:$O$13,R$2,FALSE)*J213</f>
        <v>4.91</v>
      </c>
    </row>
    <row r="214" spans="2:18">
      <c r="B214" t="s">
        <v>28</v>
      </c>
      <c r="C214" t="s">
        <v>124</v>
      </c>
      <c r="D214" t="s">
        <v>11</v>
      </c>
      <c r="E214" t="s">
        <v>420</v>
      </c>
      <c r="F214" s="51">
        <v>22.19</v>
      </c>
      <c r="G214" s="51">
        <v>25.44</v>
      </c>
      <c r="H214" s="51">
        <v>30.04</v>
      </c>
      <c r="I214" s="51">
        <v>28.37</v>
      </c>
      <c r="J214" s="51">
        <v>25.99</v>
      </c>
      <c r="L214" t="str">
        <f>VLOOKUP(B214,TABLE!D:E,2,FALSE)</f>
        <v>USD</v>
      </c>
      <c r="M214" t="str">
        <f t="shared" si="3"/>
        <v>USD</v>
      </c>
      <c r="N214" s="51">
        <f>VLOOKUP($L214,TABLE!$I$3:$O$13,N$2,FALSE)/VLOOKUP($M214,TABLE!$I$3:$O$13,N$2,FALSE)*F214</f>
        <v>22.19</v>
      </c>
      <c r="O214" s="51">
        <f>VLOOKUP($L214,TABLE!$I$3:$O$13,O$2,FALSE)/VLOOKUP($M214,TABLE!$I$3:$O$13,O$2,FALSE)*G214</f>
        <v>25.44</v>
      </c>
      <c r="P214" s="51">
        <f>VLOOKUP($L214,TABLE!$I$3:$O$13,P$2,FALSE)/VLOOKUP($M214,TABLE!$I$3:$O$13,P$2,FALSE)*H214</f>
        <v>30.04</v>
      </c>
      <c r="Q214" s="51">
        <f>VLOOKUP($L214,TABLE!$I$3:$O$13,Q$2,FALSE)/VLOOKUP($M214,TABLE!$I$3:$O$13,Q$2,FALSE)*I214</f>
        <v>28.37</v>
      </c>
      <c r="R214" s="51">
        <f>VLOOKUP($L214,TABLE!$I$3:$O$13,R$2,FALSE)/VLOOKUP($M214,TABLE!$I$3:$O$13,R$2,FALSE)*J214</f>
        <v>25.99</v>
      </c>
    </row>
    <row r="215" spans="2:18">
      <c r="B215" t="s">
        <v>28</v>
      </c>
      <c r="C215" t="s">
        <v>124</v>
      </c>
      <c r="D215" t="s">
        <v>13</v>
      </c>
      <c r="E215" t="s">
        <v>421</v>
      </c>
      <c r="F215" s="51">
        <v>11.55</v>
      </c>
      <c r="G215" s="51">
        <v>12.98</v>
      </c>
      <c r="H215" s="51">
        <v>15.02</v>
      </c>
      <c r="I215" s="51">
        <v>14.54</v>
      </c>
      <c r="J215" s="51">
        <v>16.14</v>
      </c>
      <c r="L215" t="str">
        <f>VLOOKUP(B215,TABLE!D:E,2,FALSE)</f>
        <v>USD</v>
      </c>
      <c r="M215" t="str">
        <f t="shared" si="3"/>
        <v>USD</v>
      </c>
      <c r="N215" s="51">
        <f>VLOOKUP($L215,TABLE!$I$3:$O$13,N$2,FALSE)/VLOOKUP($M215,TABLE!$I$3:$O$13,N$2,FALSE)*F215</f>
        <v>11.55</v>
      </c>
      <c r="O215" s="51">
        <f>VLOOKUP($L215,TABLE!$I$3:$O$13,O$2,FALSE)/VLOOKUP($M215,TABLE!$I$3:$O$13,O$2,FALSE)*G215</f>
        <v>12.98</v>
      </c>
      <c r="P215" s="51">
        <f>VLOOKUP($L215,TABLE!$I$3:$O$13,P$2,FALSE)/VLOOKUP($M215,TABLE!$I$3:$O$13,P$2,FALSE)*H215</f>
        <v>15.02</v>
      </c>
      <c r="Q215" s="51">
        <f>VLOOKUP($L215,TABLE!$I$3:$O$13,Q$2,FALSE)/VLOOKUP($M215,TABLE!$I$3:$O$13,Q$2,FALSE)*I215</f>
        <v>14.54</v>
      </c>
      <c r="R215" s="51">
        <f>VLOOKUP($L215,TABLE!$I$3:$O$13,R$2,FALSE)/VLOOKUP($M215,TABLE!$I$3:$O$13,R$2,FALSE)*J215</f>
        <v>16.14</v>
      </c>
    </row>
    <row r="216" spans="2:18">
      <c r="B216" t="s">
        <v>28</v>
      </c>
      <c r="C216" t="s">
        <v>124</v>
      </c>
      <c r="D216" t="s">
        <v>15</v>
      </c>
      <c r="E216" t="s">
        <v>422</v>
      </c>
      <c r="F216" s="51">
        <v>55.24</v>
      </c>
      <c r="G216" s="51">
        <v>58.98</v>
      </c>
      <c r="H216" s="51">
        <v>72.959999999999994</v>
      </c>
      <c r="I216" s="51">
        <v>64.459999999999994</v>
      </c>
      <c r="J216" s="51">
        <v>59.31</v>
      </c>
      <c r="L216" t="str">
        <f>VLOOKUP(B216,TABLE!D:E,2,FALSE)</f>
        <v>USD</v>
      </c>
      <c r="M216" t="str">
        <f t="shared" si="3"/>
        <v>USD</v>
      </c>
      <c r="N216" s="51">
        <f>VLOOKUP($L216,TABLE!$I$3:$O$13,N$2,FALSE)/VLOOKUP($M216,TABLE!$I$3:$O$13,N$2,FALSE)*F216</f>
        <v>55.24</v>
      </c>
      <c r="O216" s="51">
        <f>VLOOKUP($L216,TABLE!$I$3:$O$13,O$2,FALSE)/VLOOKUP($M216,TABLE!$I$3:$O$13,O$2,FALSE)*G216</f>
        <v>58.98</v>
      </c>
      <c r="P216" s="51">
        <f>VLOOKUP($L216,TABLE!$I$3:$O$13,P$2,FALSE)/VLOOKUP($M216,TABLE!$I$3:$O$13,P$2,FALSE)*H216</f>
        <v>72.959999999999994</v>
      </c>
      <c r="Q216" s="51">
        <f>VLOOKUP($L216,TABLE!$I$3:$O$13,Q$2,FALSE)/VLOOKUP($M216,TABLE!$I$3:$O$13,Q$2,FALSE)*I216</f>
        <v>64.459999999999994</v>
      </c>
      <c r="R216" s="51">
        <f>VLOOKUP($L216,TABLE!$I$3:$O$13,R$2,FALSE)/VLOOKUP($M216,TABLE!$I$3:$O$13,R$2,FALSE)*J216</f>
        <v>59.31</v>
      </c>
    </row>
    <row r="217" spans="2:18">
      <c r="B217" t="s">
        <v>28</v>
      </c>
      <c r="C217" t="s">
        <v>124</v>
      </c>
      <c r="D217" t="s">
        <v>18</v>
      </c>
      <c r="E217" t="s">
        <v>423</v>
      </c>
      <c r="F217" s="51">
        <v>233.32</v>
      </c>
      <c r="G217" s="51">
        <v>302.51</v>
      </c>
      <c r="H217" s="51">
        <v>331.05</v>
      </c>
      <c r="I217" s="51">
        <v>333.8</v>
      </c>
      <c r="J217" s="51">
        <v>346.81</v>
      </c>
      <c r="L217" t="str">
        <f>VLOOKUP(B217,TABLE!D:E,2,FALSE)</f>
        <v>USD</v>
      </c>
      <c r="M217" t="str">
        <f t="shared" si="3"/>
        <v>USD</v>
      </c>
      <c r="N217" s="51">
        <f>VLOOKUP($L217,TABLE!$I$3:$O$13,N$2,FALSE)/VLOOKUP($M217,TABLE!$I$3:$O$13,N$2,FALSE)*F217</f>
        <v>233.32</v>
      </c>
      <c r="O217" s="51">
        <f>VLOOKUP($L217,TABLE!$I$3:$O$13,O$2,FALSE)/VLOOKUP($M217,TABLE!$I$3:$O$13,O$2,FALSE)*G217</f>
        <v>302.51</v>
      </c>
      <c r="P217" s="51">
        <f>VLOOKUP($L217,TABLE!$I$3:$O$13,P$2,FALSE)/VLOOKUP($M217,TABLE!$I$3:$O$13,P$2,FALSE)*H217</f>
        <v>331.05</v>
      </c>
      <c r="Q217" s="51">
        <f>VLOOKUP($L217,TABLE!$I$3:$O$13,Q$2,FALSE)/VLOOKUP($M217,TABLE!$I$3:$O$13,Q$2,FALSE)*I217</f>
        <v>333.8</v>
      </c>
      <c r="R217" s="51">
        <f>VLOOKUP($L217,TABLE!$I$3:$O$13,R$2,FALSE)/VLOOKUP($M217,TABLE!$I$3:$O$13,R$2,FALSE)*J217</f>
        <v>346.81</v>
      </c>
    </row>
    <row r="218" spans="2:18">
      <c r="B218" t="s">
        <v>28</v>
      </c>
      <c r="C218" t="s">
        <v>124</v>
      </c>
      <c r="D218" t="s">
        <v>21</v>
      </c>
      <c r="E218" t="s">
        <v>424</v>
      </c>
      <c r="F218" s="51">
        <v>52.06</v>
      </c>
      <c r="G218" s="51">
        <v>62.63</v>
      </c>
      <c r="H218" s="51">
        <v>77.510000000000005</v>
      </c>
      <c r="I218" s="51">
        <v>64.14</v>
      </c>
      <c r="J218" s="51">
        <v>71.72</v>
      </c>
      <c r="L218" t="str">
        <f>VLOOKUP(B218,TABLE!D:E,2,FALSE)</f>
        <v>USD</v>
      </c>
      <c r="M218" t="str">
        <f t="shared" si="3"/>
        <v>USD</v>
      </c>
      <c r="N218" s="51">
        <f>VLOOKUP($L218,TABLE!$I$3:$O$13,N$2,FALSE)/VLOOKUP($M218,TABLE!$I$3:$O$13,N$2,FALSE)*F218</f>
        <v>52.06</v>
      </c>
      <c r="O218" s="51">
        <f>VLOOKUP($L218,TABLE!$I$3:$O$13,O$2,FALSE)/VLOOKUP($M218,TABLE!$I$3:$O$13,O$2,FALSE)*G218</f>
        <v>62.63</v>
      </c>
      <c r="P218" s="51">
        <f>VLOOKUP($L218,TABLE!$I$3:$O$13,P$2,FALSE)/VLOOKUP($M218,TABLE!$I$3:$O$13,P$2,FALSE)*H218</f>
        <v>77.510000000000005</v>
      </c>
      <c r="Q218" s="51">
        <f>VLOOKUP($L218,TABLE!$I$3:$O$13,Q$2,FALSE)/VLOOKUP($M218,TABLE!$I$3:$O$13,Q$2,FALSE)*I218</f>
        <v>64.14</v>
      </c>
      <c r="R218" s="51">
        <f>VLOOKUP($L218,TABLE!$I$3:$O$13,R$2,FALSE)/VLOOKUP($M218,TABLE!$I$3:$O$13,R$2,FALSE)*J218</f>
        <v>71.72</v>
      </c>
    </row>
    <row r="219" spans="2:18">
      <c r="B219" t="s">
        <v>28</v>
      </c>
      <c r="C219" t="s">
        <v>124</v>
      </c>
      <c r="D219" t="s">
        <v>20</v>
      </c>
      <c r="E219" t="s">
        <v>425</v>
      </c>
      <c r="F219" s="51">
        <v>24.24</v>
      </c>
      <c r="G219" s="51">
        <v>30.78</v>
      </c>
      <c r="H219" s="51">
        <v>33.97</v>
      </c>
      <c r="I219" s="51">
        <v>33.79</v>
      </c>
      <c r="J219" s="51">
        <v>30.92</v>
      </c>
      <c r="L219" t="str">
        <f>VLOOKUP(B219,TABLE!D:E,2,FALSE)</f>
        <v>USD</v>
      </c>
      <c r="M219" t="str">
        <f t="shared" si="3"/>
        <v>USD</v>
      </c>
      <c r="N219" s="51">
        <f>VLOOKUP($L219,TABLE!$I$3:$O$13,N$2,FALSE)/VLOOKUP($M219,TABLE!$I$3:$O$13,N$2,FALSE)*F219</f>
        <v>24.24</v>
      </c>
      <c r="O219" s="51">
        <f>VLOOKUP($L219,TABLE!$I$3:$O$13,O$2,FALSE)/VLOOKUP($M219,TABLE!$I$3:$O$13,O$2,FALSE)*G219</f>
        <v>30.78</v>
      </c>
      <c r="P219" s="51">
        <f>VLOOKUP($L219,TABLE!$I$3:$O$13,P$2,FALSE)/VLOOKUP($M219,TABLE!$I$3:$O$13,P$2,FALSE)*H219</f>
        <v>33.97</v>
      </c>
      <c r="Q219" s="51">
        <f>VLOOKUP($L219,TABLE!$I$3:$O$13,Q$2,FALSE)/VLOOKUP($M219,TABLE!$I$3:$O$13,Q$2,FALSE)*I219</f>
        <v>33.79</v>
      </c>
      <c r="R219" s="51">
        <f>VLOOKUP($L219,TABLE!$I$3:$O$13,R$2,FALSE)/VLOOKUP($M219,TABLE!$I$3:$O$13,R$2,FALSE)*J219</f>
        <v>30.92</v>
      </c>
    </row>
    <row r="220" spans="2:18">
      <c r="B220" t="s">
        <v>28</v>
      </c>
      <c r="C220" t="s">
        <v>124</v>
      </c>
      <c r="D220" t="s">
        <v>25</v>
      </c>
      <c r="E220" t="s">
        <v>426</v>
      </c>
      <c r="F220" s="51">
        <v>115.39</v>
      </c>
      <c r="G220" s="51">
        <v>152.68</v>
      </c>
      <c r="H220" s="51">
        <v>160.74</v>
      </c>
      <c r="I220" s="51">
        <v>171.66</v>
      </c>
      <c r="J220" s="51">
        <v>180.5</v>
      </c>
      <c r="L220" t="str">
        <f>VLOOKUP(B220,TABLE!D:E,2,FALSE)</f>
        <v>USD</v>
      </c>
      <c r="M220" t="str">
        <f t="shared" si="3"/>
        <v>USD</v>
      </c>
      <c r="N220" s="51">
        <f>VLOOKUP($L220,TABLE!$I$3:$O$13,N$2,FALSE)/VLOOKUP($M220,TABLE!$I$3:$O$13,N$2,FALSE)*F220</f>
        <v>115.39</v>
      </c>
      <c r="O220" s="51">
        <f>VLOOKUP($L220,TABLE!$I$3:$O$13,O$2,FALSE)/VLOOKUP($M220,TABLE!$I$3:$O$13,O$2,FALSE)*G220</f>
        <v>152.68</v>
      </c>
      <c r="P220" s="51">
        <f>VLOOKUP($L220,TABLE!$I$3:$O$13,P$2,FALSE)/VLOOKUP($M220,TABLE!$I$3:$O$13,P$2,FALSE)*H220</f>
        <v>160.74</v>
      </c>
      <c r="Q220" s="51">
        <f>VLOOKUP($L220,TABLE!$I$3:$O$13,Q$2,FALSE)/VLOOKUP($M220,TABLE!$I$3:$O$13,Q$2,FALSE)*I220</f>
        <v>171.66</v>
      </c>
      <c r="R220" s="51">
        <f>VLOOKUP($L220,TABLE!$I$3:$O$13,R$2,FALSE)/VLOOKUP($M220,TABLE!$I$3:$O$13,R$2,FALSE)*J220</f>
        <v>180.5</v>
      </c>
    </row>
    <row r="221" spans="2:18">
      <c r="B221" t="s">
        <v>28</v>
      </c>
      <c r="C221" t="s">
        <v>124</v>
      </c>
      <c r="D221" t="s">
        <v>30</v>
      </c>
      <c r="E221" t="s">
        <v>427</v>
      </c>
      <c r="F221" s="51">
        <v>277.51</v>
      </c>
      <c r="G221" s="51">
        <v>344</v>
      </c>
      <c r="H221" s="51">
        <v>437.64</v>
      </c>
      <c r="I221" s="51">
        <v>428.38</v>
      </c>
      <c r="J221" s="51">
        <v>393.72</v>
      </c>
      <c r="L221" t="str">
        <f>VLOOKUP(B221,TABLE!D:E,2,FALSE)</f>
        <v>USD</v>
      </c>
      <c r="M221" t="str">
        <f t="shared" si="3"/>
        <v>USD</v>
      </c>
      <c r="N221" s="51">
        <f>VLOOKUP($L221,TABLE!$I$3:$O$13,N$2,FALSE)/VLOOKUP($M221,TABLE!$I$3:$O$13,N$2,FALSE)*F221</f>
        <v>277.51</v>
      </c>
      <c r="O221" s="51">
        <f>VLOOKUP($L221,TABLE!$I$3:$O$13,O$2,FALSE)/VLOOKUP($M221,TABLE!$I$3:$O$13,O$2,FALSE)*G221</f>
        <v>344</v>
      </c>
      <c r="P221" s="51">
        <f>VLOOKUP($L221,TABLE!$I$3:$O$13,P$2,FALSE)/VLOOKUP($M221,TABLE!$I$3:$O$13,P$2,FALSE)*H221</f>
        <v>437.64</v>
      </c>
      <c r="Q221" s="51">
        <f>VLOOKUP($L221,TABLE!$I$3:$O$13,Q$2,FALSE)/VLOOKUP($M221,TABLE!$I$3:$O$13,Q$2,FALSE)*I221</f>
        <v>428.38</v>
      </c>
      <c r="R221" s="51">
        <f>VLOOKUP($L221,TABLE!$I$3:$O$13,R$2,FALSE)/VLOOKUP($M221,TABLE!$I$3:$O$13,R$2,FALSE)*J221</f>
        <v>393.72</v>
      </c>
    </row>
    <row r="222" spans="2:18">
      <c r="B222" t="s">
        <v>28</v>
      </c>
      <c r="C222" t="s">
        <v>124</v>
      </c>
      <c r="D222" t="s">
        <v>34</v>
      </c>
      <c r="E222" t="s">
        <v>428</v>
      </c>
      <c r="F222" s="51">
        <v>77.739999999999995</v>
      </c>
      <c r="G222" s="51">
        <v>93.34</v>
      </c>
      <c r="H222" s="51">
        <v>113.17</v>
      </c>
      <c r="I222" s="51">
        <v>106.98</v>
      </c>
      <c r="J222" s="51">
        <v>89.88</v>
      </c>
      <c r="L222" t="str">
        <f>VLOOKUP(B222,TABLE!D:E,2,FALSE)</f>
        <v>USD</v>
      </c>
      <c r="M222" t="str">
        <f t="shared" si="3"/>
        <v>USD</v>
      </c>
      <c r="N222" s="51">
        <f>VLOOKUP($L222,TABLE!$I$3:$O$13,N$2,FALSE)/VLOOKUP($M222,TABLE!$I$3:$O$13,N$2,FALSE)*F222</f>
        <v>77.739999999999995</v>
      </c>
      <c r="O222" s="51">
        <f>VLOOKUP($L222,TABLE!$I$3:$O$13,O$2,FALSE)/VLOOKUP($M222,TABLE!$I$3:$O$13,O$2,FALSE)*G222</f>
        <v>93.34</v>
      </c>
      <c r="P222" s="51">
        <f>VLOOKUP($L222,TABLE!$I$3:$O$13,P$2,FALSE)/VLOOKUP($M222,TABLE!$I$3:$O$13,P$2,FALSE)*H222</f>
        <v>113.17</v>
      </c>
      <c r="Q222" s="51">
        <f>VLOOKUP($L222,TABLE!$I$3:$O$13,Q$2,FALSE)/VLOOKUP($M222,TABLE!$I$3:$O$13,Q$2,FALSE)*I222</f>
        <v>106.98</v>
      </c>
      <c r="R222" s="51">
        <f>VLOOKUP($L222,TABLE!$I$3:$O$13,R$2,FALSE)/VLOOKUP($M222,TABLE!$I$3:$O$13,R$2,FALSE)*J222</f>
        <v>89.88</v>
      </c>
    </row>
    <row r="223" spans="2:18">
      <c r="B223" t="s">
        <v>28</v>
      </c>
      <c r="C223" t="s">
        <v>124</v>
      </c>
      <c r="D223" t="s">
        <v>48</v>
      </c>
      <c r="E223" t="s">
        <v>429</v>
      </c>
      <c r="F223" s="51">
        <v>19.28</v>
      </c>
      <c r="G223" s="51">
        <v>30.46</v>
      </c>
      <c r="H223" s="51">
        <v>41.06</v>
      </c>
      <c r="I223" s="51">
        <v>44.88</v>
      </c>
      <c r="J223" s="51">
        <v>32.58</v>
      </c>
      <c r="L223" t="str">
        <f>VLOOKUP(B223,TABLE!D:E,2,FALSE)</f>
        <v>USD</v>
      </c>
      <c r="M223" t="str">
        <f t="shared" si="3"/>
        <v>USD</v>
      </c>
      <c r="N223" s="51">
        <f>VLOOKUP($L223,TABLE!$I$3:$O$13,N$2,FALSE)/VLOOKUP($M223,TABLE!$I$3:$O$13,N$2,FALSE)*F223</f>
        <v>19.28</v>
      </c>
      <c r="O223" s="51">
        <f>VLOOKUP($L223,TABLE!$I$3:$O$13,O$2,FALSE)/VLOOKUP($M223,TABLE!$I$3:$O$13,O$2,FALSE)*G223</f>
        <v>30.46</v>
      </c>
      <c r="P223" s="51">
        <f>VLOOKUP($L223,TABLE!$I$3:$O$13,P$2,FALSE)/VLOOKUP($M223,TABLE!$I$3:$O$13,P$2,FALSE)*H223</f>
        <v>41.06</v>
      </c>
      <c r="Q223" s="51">
        <f>VLOOKUP($L223,TABLE!$I$3:$O$13,Q$2,FALSE)/VLOOKUP($M223,TABLE!$I$3:$O$13,Q$2,FALSE)*I223</f>
        <v>44.88</v>
      </c>
      <c r="R223" s="51">
        <f>VLOOKUP($L223,TABLE!$I$3:$O$13,R$2,FALSE)/VLOOKUP($M223,TABLE!$I$3:$O$13,R$2,FALSE)*J223</f>
        <v>32.58</v>
      </c>
    </row>
    <row r="224" spans="2:18">
      <c r="B224" t="s">
        <v>28</v>
      </c>
      <c r="C224" t="s">
        <v>124</v>
      </c>
      <c r="D224" t="s">
        <v>50</v>
      </c>
      <c r="E224" t="s">
        <v>430</v>
      </c>
      <c r="F224" s="51">
        <v>40.1</v>
      </c>
      <c r="G224" s="51">
        <v>57.32</v>
      </c>
      <c r="H224" s="51">
        <v>73.8</v>
      </c>
      <c r="I224" s="51">
        <v>73.430000000000007</v>
      </c>
      <c r="J224" s="51">
        <v>60.95</v>
      </c>
      <c r="L224" t="str">
        <f>VLOOKUP(B224,TABLE!D:E,2,FALSE)</f>
        <v>USD</v>
      </c>
      <c r="M224" t="str">
        <f t="shared" si="3"/>
        <v>USD</v>
      </c>
      <c r="N224" s="51">
        <f>VLOOKUP($L224,TABLE!$I$3:$O$13,N$2,FALSE)/VLOOKUP($M224,TABLE!$I$3:$O$13,N$2,FALSE)*F224</f>
        <v>40.1</v>
      </c>
      <c r="O224" s="51">
        <f>VLOOKUP($L224,TABLE!$I$3:$O$13,O$2,FALSE)/VLOOKUP($M224,TABLE!$I$3:$O$13,O$2,FALSE)*G224</f>
        <v>57.32</v>
      </c>
      <c r="P224" s="51">
        <f>VLOOKUP($L224,TABLE!$I$3:$O$13,P$2,FALSE)/VLOOKUP($M224,TABLE!$I$3:$O$13,P$2,FALSE)*H224</f>
        <v>73.8</v>
      </c>
      <c r="Q224" s="51">
        <f>VLOOKUP($L224,TABLE!$I$3:$O$13,Q$2,FALSE)/VLOOKUP($M224,TABLE!$I$3:$O$13,Q$2,FALSE)*I224</f>
        <v>73.430000000000007</v>
      </c>
      <c r="R224" s="51">
        <f>VLOOKUP($L224,TABLE!$I$3:$O$13,R$2,FALSE)/VLOOKUP($M224,TABLE!$I$3:$O$13,R$2,FALSE)*J224</f>
        <v>60.95</v>
      </c>
    </row>
    <row r="225" spans="2:18">
      <c r="B225" t="s">
        <v>28</v>
      </c>
      <c r="C225" t="s">
        <v>124</v>
      </c>
      <c r="D225" t="s">
        <v>44</v>
      </c>
      <c r="E225" t="s">
        <v>431</v>
      </c>
      <c r="F225" s="51">
        <v>0.54800000000000004</v>
      </c>
      <c r="G225" s="51">
        <v>0.25900000000000001</v>
      </c>
      <c r="H225" s="51">
        <v>0.247</v>
      </c>
      <c r="I225" s="51">
        <v>0.32700000000000001</v>
      </c>
      <c r="J225" s="51">
        <v>0.13200000000000001</v>
      </c>
      <c r="L225" t="str">
        <f>VLOOKUP(B225,TABLE!D:E,2,FALSE)</f>
        <v>USD</v>
      </c>
      <c r="M225" t="str">
        <f t="shared" si="3"/>
        <v>USD</v>
      </c>
      <c r="N225" s="51">
        <f>VLOOKUP($L225,TABLE!$I$3:$O$13,N$2,FALSE)/VLOOKUP($M225,TABLE!$I$3:$O$13,N$2,FALSE)*F225</f>
        <v>0.54800000000000004</v>
      </c>
      <c r="O225" s="51">
        <f>VLOOKUP($L225,TABLE!$I$3:$O$13,O$2,FALSE)/VLOOKUP($M225,TABLE!$I$3:$O$13,O$2,FALSE)*G225</f>
        <v>0.25900000000000001</v>
      </c>
      <c r="P225" s="51">
        <f>VLOOKUP($L225,TABLE!$I$3:$O$13,P$2,FALSE)/VLOOKUP($M225,TABLE!$I$3:$O$13,P$2,FALSE)*H225</f>
        <v>0.247</v>
      </c>
      <c r="Q225" s="51">
        <f>VLOOKUP($L225,TABLE!$I$3:$O$13,Q$2,FALSE)/VLOOKUP($M225,TABLE!$I$3:$O$13,Q$2,FALSE)*I225</f>
        <v>0.32700000000000001</v>
      </c>
      <c r="R225" s="51">
        <f>VLOOKUP($L225,TABLE!$I$3:$O$13,R$2,FALSE)/VLOOKUP($M225,TABLE!$I$3:$O$13,R$2,FALSE)*J225</f>
        <v>0.13200000000000001</v>
      </c>
    </row>
    <row r="226" spans="2:18">
      <c r="B226" t="s">
        <v>28</v>
      </c>
      <c r="C226" t="s">
        <v>124</v>
      </c>
      <c r="D226" t="s">
        <v>42</v>
      </c>
      <c r="E226" t="s">
        <v>432</v>
      </c>
      <c r="F226" s="51">
        <v>0</v>
      </c>
      <c r="G226" s="51">
        <v>0</v>
      </c>
      <c r="H226" s="51">
        <v>0</v>
      </c>
      <c r="I226" s="51">
        <v>0</v>
      </c>
      <c r="J226" s="51">
        <v>0</v>
      </c>
      <c r="L226" t="str">
        <f>VLOOKUP(B226,TABLE!D:E,2,FALSE)</f>
        <v>USD</v>
      </c>
      <c r="M226" t="str">
        <f t="shared" si="3"/>
        <v>USD</v>
      </c>
      <c r="N226" s="51">
        <f>VLOOKUP($L226,TABLE!$I$3:$O$13,N$2,FALSE)/VLOOKUP($M226,TABLE!$I$3:$O$13,N$2,FALSE)*F226</f>
        <v>0</v>
      </c>
      <c r="O226" s="51">
        <f>VLOOKUP($L226,TABLE!$I$3:$O$13,O$2,FALSE)/VLOOKUP($M226,TABLE!$I$3:$O$13,O$2,FALSE)*G226</f>
        <v>0</v>
      </c>
      <c r="P226" s="51">
        <f>VLOOKUP($L226,TABLE!$I$3:$O$13,P$2,FALSE)/VLOOKUP($M226,TABLE!$I$3:$O$13,P$2,FALSE)*H226</f>
        <v>0</v>
      </c>
      <c r="Q226" s="51">
        <f>VLOOKUP($L226,TABLE!$I$3:$O$13,Q$2,FALSE)/VLOOKUP($M226,TABLE!$I$3:$O$13,Q$2,FALSE)*I226</f>
        <v>0</v>
      </c>
      <c r="R226" s="51">
        <f>VLOOKUP($L226,TABLE!$I$3:$O$13,R$2,FALSE)/VLOOKUP($M226,TABLE!$I$3:$O$13,R$2,FALSE)*J226</f>
        <v>0</v>
      </c>
    </row>
    <row r="227" spans="2:18">
      <c r="B227" t="s">
        <v>28</v>
      </c>
      <c r="C227" t="s">
        <v>124</v>
      </c>
      <c r="D227" t="s">
        <v>145</v>
      </c>
      <c r="E227" t="s">
        <v>433</v>
      </c>
      <c r="F227" s="51"/>
      <c r="G227" s="51"/>
      <c r="H227" s="51"/>
      <c r="I227" s="51"/>
      <c r="J227" s="51"/>
      <c r="L227" t="str">
        <f>VLOOKUP(B227,TABLE!D:E,2,FALSE)</f>
        <v>USD</v>
      </c>
      <c r="M227" t="str">
        <f t="shared" si="3"/>
        <v>USD</v>
      </c>
      <c r="N227" s="51">
        <f>VLOOKUP($L227,TABLE!$I$3:$O$13,N$2,FALSE)/VLOOKUP($M227,TABLE!$I$3:$O$13,N$2,FALSE)*F227</f>
        <v>0</v>
      </c>
      <c r="O227" s="51">
        <f>VLOOKUP($L227,TABLE!$I$3:$O$13,O$2,FALSE)/VLOOKUP($M227,TABLE!$I$3:$O$13,O$2,FALSE)*G227</f>
        <v>0</v>
      </c>
      <c r="P227" s="51">
        <f>VLOOKUP($L227,TABLE!$I$3:$O$13,P$2,FALSE)/VLOOKUP($M227,TABLE!$I$3:$O$13,P$2,FALSE)*H227</f>
        <v>0</v>
      </c>
      <c r="Q227" s="51">
        <f>VLOOKUP($L227,TABLE!$I$3:$O$13,Q$2,FALSE)/VLOOKUP($M227,TABLE!$I$3:$O$13,Q$2,FALSE)*I227</f>
        <v>0</v>
      </c>
      <c r="R227" s="51">
        <f>VLOOKUP($L227,TABLE!$I$3:$O$13,R$2,FALSE)/VLOOKUP($M227,TABLE!$I$3:$O$13,R$2,FALSE)*J227</f>
        <v>0</v>
      </c>
    </row>
    <row r="228" spans="2:18">
      <c r="B228" t="s">
        <v>28</v>
      </c>
      <c r="C228" t="s">
        <v>124</v>
      </c>
      <c r="D228" t="s">
        <v>36</v>
      </c>
      <c r="E228" t="s">
        <v>434</v>
      </c>
      <c r="F228" s="51">
        <v>14</v>
      </c>
      <c r="G228" s="51">
        <v>13.89</v>
      </c>
      <c r="H228" s="51">
        <v>14.18</v>
      </c>
      <c r="I228" s="51">
        <v>13.13</v>
      </c>
      <c r="J228" s="51">
        <v>12.88</v>
      </c>
      <c r="L228" t="str">
        <f>VLOOKUP(B228,TABLE!D:E,2,FALSE)</f>
        <v>USD</v>
      </c>
      <c r="M228" t="str">
        <f t="shared" si="3"/>
        <v>USD</v>
      </c>
      <c r="N228" s="51">
        <f>VLOOKUP($L228,TABLE!$I$3:$O$13,N$2,FALSE)/VLOOKUP($M228,TABLE!$I$3:$O$13,N$2,FALSE)*F228</f>
        <v>14</v>
      </c>
      <c r="O228" s="51">
        <f>VLOOKUP($L228,TABLE!$I$3:$O$13,O$2,FALSE)/VLOOKUP($M228,TABLE!$I$3:$O$13,O$2,FALSE)*G228</f>
        <v>13.89</v>
      </c>
      <c r="P228" s="51">
        <f>VLOOKUP($L228,TABLE!$I$3:$O$13,P$2,FALSE)/VLOOKUP($M228,TABLE!$I$3:$O$13,P$2,FALSE)*H228</f>
        <v>14.18</v>
      </c>
      <c r="Q228" s="51">
        <f>VLOOKUP($L228,TABLE!$I$3:$O$13,Q$2,FALSE)/VLOOKUP($M228,TABLE!$I$3:$O$13,Q$2,FALSE)*I228</f>
        <v>13.13</v>
      </c>
      <c r="R228" s="51">
        <f>VLOOKUP($L228,TABLE!$I$3:$O$13,R$2,FALSE)/VLOOKUP($M228,TABLE!$I$3:$O$13,R$2,FALSE)*J228</f>
        <v>12.88</v>
      </c>
    </row>
    <row r="229" spans="2:18">
      <c r="B229" t="s">
        <v>28</v>
      </c>
      <c r="C229" t="s">
        <v>124</v>
      </c>
      <c r="D229" t="s">
        <v>38</v>
      </c>
      <c r="E229" t="s">
        <v>435</v>
      </c>
      <c r="F229" s="51">
        <v>1.05</v>
      </c>
      <c r="G229" s="51">
        <v>1.01</v>
      </c>
      <c r="H229" s="51">
        <v>1.04</v>
      </c>
      <c r="I229" s="51">
        <v>1.04</v>
      </c>
      <c r="J229" s="51">
        <v>1.04</v>
      </c>
      <c r="L229" t="str">
        <f>VLOOKUP(B229,TABLE!D:E,2,FALSE)</f>
        <v>USD</v>
      </c>
      <c r="M229" t="str">
        <f t="shared" si="3"/>
        <v>USD</v>
      </c>
      <c r="N229" s="51">
        <f>VLOOKUP($L229,TABLE!$I$3:$O$13,N$2,FALSE)/VLOOKUP($M229,TABLE!$I$3:$O$13,N$2,FALSE)*F229</f>
        <v>1.05</v>
      </c>
      <c r="O229" s="51">
        <f>VLOOKUP($L229,TABLE!$I$3:$O$13,O$2,FALSE)/VLOOKUP($M229,TABLE!$I$3:$O$13,O$2,FALSE)*G229</f>
        <v>1.01</v>
      </c>
      <c r="P229" s="51">
        <f>VLOOKUP($L229,TABLE!$I$3:$O$13,P$2,FALSE)/VLOOKUP($M229,TABLE!$I$3:$O$13,P$2,FALSE)*H229</f>
        <v>1.04</v>
      </c>
      <c r="Q229" s="51">
        <f>VLOOKUP($L229,TABLE!$I$3:$O$13,Q$2,FALSE)/VLOOKUP($M229,TABLE!$I$3:$O$13,Q$2,FALSE)*I229</f>
        <v>1.04</v>
      </c>
      <c r="R229" s="51">
        <f>VLOOKUP($L229,TABLE!$I$3:$O$13,R$2,FALSE)/VLOOKUP($M229,TABLE!$I$3:$O$13,R$2,FALSE)*J229</f>
        <v>1.04</v>
      </c>
    </row>
    <row r="230" spans="2:18">
      <c r="B230" t="s">
        <v>28</v>
      </c>
      <c r="C230" t="s">
        <v>124</v>
      </c>
      <c r="D230" t="s">
        <v>40</v>
      </c>
      <c r="E230" t="s">
        <v>436</v>
      </c>
      <c r="F230" s="51">
        <v>12.95</v>
      </c>
      <c r="G230" s="51">
        <v>12.88</v>
      </c>
      <c r="H230" s="51">
        <v>13.14</v>
      </c>
      <c r="I230" s="51">
        <v>12.09</v>
      </c>
      <c r="J230" s="51">
        <v>11.83</v>
      </c>
      <c r="L230" t="str">
        <f>VLOOKUP(B230,TABLE!D:E,2,FALSE)</f>
        <v>USD</v>
      </c>
      <c r="M230" t="str">
        <f t="shared" si="3"/>
        <v>USD</v>
      </c>
      <c r="N230" s="51">
        <f>VLOOKUP($L230,TABLE!$I$3:$O$13,N$2,FALSE)/VLOOKUP($M230,TABLE!$I$3:$O$13,N$2,FALSE)*F230</f>
        <v>12.95</v>
      </c>
      <c r="O230" s="51">
        <f>VLOOKUP($L230,TABLE!$I$3:$O$13,O$2,FALSE)/VLOOKUP($M230,TABLE!$I$3:$O$13,O$2,FALSE)*G230</f>
        <v>12.88</v>
      </c>
      <c r="P230" s="51">
        <f>VLOOKUP($L230,TABLE!$I$3:$O$13,P$2,FALSE)/VLOOKUP($M230,TABLE!$I$3:$O$13,P$2,FALSE)*H230</f>
        <v>13.14</v>
      </c>
      <c r="Q230" s="51">
        <f>VLOOKUP($L230,TABLE!$I$3:$O$13,Q$2,FALSE)/VLOOKUP($M230,TABLE!$I$3:$O$13,Q$2,FALSE)*I230</f>
        <v>12.09</v>
      </c>
      <c r="R230" s="51">
        <f>VLOOKUP($L230,TABLE!$I$3:$O$13,R$2,FALSE)/VLOOKUP($M230,TABLE!$I$3:$O$13,R$2,FALSE)*J230</f>
        <v>11.83</v>
      </c>
    </row>
    <row r="231" spans="2:18">
      <c r="B231" t="s">
        <v>28</v>
      </c>
      <c r="C231" t="s">
        <v>124</v>
      </c>
      <c r="D231" t="s">
        <v>46</v>
      </c>
      <c r="E231" t="s">
        <v>437</v>
      </c>
      <c r="F231" s="51">
        <v>34.78</v>
      </c>
      <c r="G231" s="51">
        <v>52.96</v>
      </c>
      <c r="H231" s="51">
        <v>73.260000000000005</v>
      </c>
      <c r="I231" s="51">
        <v>78.73</v>
      </c>
      <c r="J231" s="51">
        <v>57.71</v>
      </c>
      <c r="L231" t="str">
        <f>VLOOKUP(B231,TABLE!D:E,2,FALSE)</f>
        <v>USD</v>
      </c>
      <c r="M231" t="str">
        <f t="shared" si="3"/>
        <v>USD</v>
      </c>
      <c r="N231" s="51">
        <f>VLOOKUP($L231,TABLE!$I$3:$O$13,N$2,FALSE)/VLOOKUP($M231,TABLE!$I$3:$O$13,N$2,FALSE)*F231</f>
        <v>34.78</v>
      </c>
      <c r="O231" s="51">
        <f>VLOOKUP($L231,TABLE!$I$3:$O$13,O$2,FALSE)/VLOOKUP($M231,TABLE!$I$3:$O$13,O$2,FALSE)*G231</f>
        <v>52.96</v>
      </c>
      <c r="P231" s="51">
        <f>VLOOKUP($L231,TABLE!$I$3:$O$13,P$2,FALSE)/VLOOKUP($M231,TABLE!$I$3:$O$13,P$2,FALSE)*H231</f>
        <v>73.260000000000005</v>
      </c>
      <c r="Q231" s="51">
        <f>VLOOKUP($L231,TABLE!$I$3:$O$13,Q$2,FALSE)/VLOOKUP($M231,TABLE!$I$3:$O$13,Q$2,FALSE)*I231</f>
        <v>78.73</v>
      </c>
      <c r="R231" s="51">
        <f>VLOOKUP($L231,TABLE!$I$3:$O$13,R$2,FALSE)/VLOOKUP($M231,TABLE!$I$3:$O$13,R$2,FALSE)*J231</f>
        <v>57.71</v>
      </c>
    </row>
    <row r="232" spans="2:18">
      <c r="B232" t="s">
        <v>29</v>
      </c>
      <c r="C232" t="s">
        <v>124</v>
      </c>
      <c r="D232" t="s">
        <v>9</v>
      </c>
      <c r="E232" t="s">
        <v>438</v>
      </c>
      <c r="F232" s="51">
        <v>19.96</v>
      </c>
      <c r="G232" s="51">
        <v>16.54</v>
      </c>
      <c r="H232" s="51">
        <v>7.71</v>
      </c>
      <c r="I232" s="51">
        <v>13</v>
      </c>
      <c r="J232" s="51">
        <v>12.94</v>
      </c>
      <c r="L232" t="str">
        <f>VLOOKUP(B232,TABLE!D:E,2,FALSE)</f>
        <v>BRL</v>
      </c>
      <c r="M232" t="str">
        <f t="shared" si="3"/>
        <v>USD</v>
      </c>
      <c r="N232" s="51">
        <f>VLOOKUP($L232,TABLE!$I$3:$O$13,N$2,FALSE)/VLOOKUP($M232,TABLE!$I$3:$O$13,N$2,FALSE)*F232</f>
        <v>11.463358603262119</v>
      </c>
      <c r="O232" s="51">
        <f>VLOOKUP($L232,TABLE!$I$3:$O$13,O$2,FALSE)/VLOOKUP($M232,TABLE!$I$3:$O$13,O$2,FALSE)*G232</f>
        <v>9.9267794982595134</v>
      </c>
      <c r="P232" s="51">
        <f>VLOOKUP($L232,TABLE!$I$3:$O$13,P$2,FALSE)/VLOOKUP($M232,TABLE!$I$3:$O$13,P$2,FALSE)*H232</f>
        <v>4.1102462949141705</v>
      </c>
      <c r="Q232" s="51">
        <f>VLOOKUP($L232,TABLE!$I$3:$O$13,Q$2,FALSE)/VLOOKUP($M232,TABLE!$I$3:$O$13,Q$2,FALSE)*I232</f>
        <v>6.3616344506973332</v>
      </c>
      <c r="R232" s="51">
        <f>VLOOKUP($L232,TABLE!$I$3:$O$13,R$2,FALSE)/VLOOKUP($M232,TABLE!$I$3:$O$13,R$2,FALSE)*J232</f>
        <v>5.5237769999146247</v>
      </c>
    </row>
    <row r="233" spans="2:18">
      <c r="B233" t="s">
        <v>29</v>
      </c>
      <c r="C233" t="s">
        <v>124</v>
      </c>
      <c r="D233" t="s">
        <v>11</v>
      </c>
      <c r="E233" t="s">
        <v>439</v>
      </c>
      <c r="F233" s="51">
        <v>5.64</v>
      </c>
      <c r="G233" s="51">
        <v>13.96</v>
      </c>
      <c r="H233" s="51">
        <v>15.89</v>
      </c>
      <c r="I233" s="51">
        <v>13.89</v>
      </c>
      <c r="J233" s="51">
        <v>13.36</v>
      </c>
      <c r="L233" t="str">
        <f>VLOOKUP(B233,TABLE!D:E,2,FALSE)</f>
        <v>BRL</v>
      </c>
      <c r="M233" t="str">
        <f t="shared" si="3"/>
        <v>USD</v>
      </c>
      <c r="N233" s="51">
        <f>VLOOKUP($L233,TABLE!$I$3:$O$13,N$2,FALSE)/VLOOKUP($M233,TABLE!$I$3:$O$13,N$2,FALSE)*F233</f>
        <v>3.239145416953825</v>
      </c>
      <c r="O233" s="51">
        <f>VLOOKUP($L233,TABLE!$I$3:$O$13,O$2,FALSE)/VLOOKUP($M233,TABLE!$I$3:$O$13,O$2,FALSE)*G233</f>
        <v>8.3783459368623223</v>
      </c>
      <c r="P233" s="51">
        <f>VLOOKUP($L233,TABLE!$I$3:$O$13,P$2,FALSE)/VLOOKUP($M233,TABLE!$I$3:$O$13,P$2,FALSE)*H233</f>
        <v>8.47105235099691</v>
      </c>
      <c r="Q233" s="51">
        <f>VLOOKUP($L233,TABLE!$I$3:$O$13,Q$2,FALSE)/VLOOKUP($M233,TABLE!$I$3:$O$13,Q$2,FALSE)*I233</f>
        <v>6.7971617323219968</v>
      </c>
      <c r="R233" s="51">
        <f>VLOOKUP($L233,TABLE!$I$3:$O$13,R$2,FALSE)/VLOOKUP($M233,TABLE!$I$3:$O$13,R$2,FALSE)*J233</f>
        <v>5.7030649705455474</v>
      </c>
    </row>
    <row r="234" spans="2:18">
      <c r="B234" t="s">
        <v>29</v>
      </c>
      <c r="C234" t="s">
        <v>124</v>
      </c>
      <c r="D234" t="s">
        <v>13</v>
      </c>
      <c r="E234" t="s">
        <v>440</v>
      </c>
      <c r="F234" s="51">
        <v>6.79</v>
      </c>
      <c r="G234" s="51">
        <v>7.91</v>
      </c>
      <c r="H234" s="51">
        <v>10.57</v>
      </c>
      <c r="I234" s="51">
        <v>10.32</v>
      </c>
      <c r="J234" s="51">
        <v>9.66</v>
      </c>
      <c r="L234" t="str">
        <f>VLOOKUP(B234,TABLE!D:E,2,FALSE)</f>
        <v>BRL</v>
      </c>
      <c r="M234" t="str">
        <f t="shared" si="3"/>
        <v>USD</v>
      </c>
      <c r="N234" s="51">
        <f>VLOOKUP($L234,TABLE!$I$3:$O$13,N$2,FALSE)/VLOOKUP($M234,TABLE!$I$3:$O$13,N$2,FALSE)*F234</f>
        <v>3.899609464736963</v>
      </c>
      <c r="O234" s="51">
        <f>VLOOKUP($L234,TABLE!$I$3:$O$13,O$2,FALSE)/VLOOKUP($M234,TABLE!$I$3:$O$13,O$2,FALSE)*G234</f>
        <v>4.7473292521906139</v>
      </c>
      <c r="P234" s="51">
        <f>VLOOKUP($L234,TABLE!$I$3:$O$13,P$2,FALSE)/VLOOKUP($M234,TABLE!$I$3:$O$13,P$2,FALSE)*H234</f>
        <v>5.6349290969186487</v>
      </c>
      <c r="Q234" s="51">
        <f>VLOOKUP($L234,TABLE!$I$3:$O$13,Q$2,FALSE)/VLOOKUP($M234,TABLE!$I$3:$O$13,Q$2,FALSE)*I234</f>
        <v>5.050159040861268</v>
      </c>
      <c r="R234" s="51">
        <f>VLOOKUP($L234,TABLE!$I$3:$O$13,R$2,FALSE)/VLOOKUP($M234,TABLE!$I$3:$O$13,R$2,FALSE)*J234</f>
        <v>4.123623324511227</v>
      </c>
    </row>
    <row r="235" spans="2:18">
      <c r="B235" t="s">
        <v>29</v>
      </c>
      <c r="C235" t="s">
        <v>124</v>
      </c>
      <c r="D235" t="s">
        <v>15</v>
      </c>
      <c r="E235" t="s">
        <v>441</v>
      </c>
      <c r="F235" s="51">
        <v>36.79</v>
      </c>
      <c r="G235" s="51">
        <v>42.39</v>
      </c>
      <c r="H235" s="51">
        <v>40.15</v>
      </c>
      <c r="I235" s="51">
        <v>45.11</v>
      </c>
      <c r="J235" s="51">
        <v>48.28</v>
      </c>
      <c r="L235" t="str">
        <f>VLOOKUP(B235,TABLE!D:E,2,FALSE)</f>
        <v>BRL</v>
      </c>
      <c r="M235" t="str">
        <f t="shared" si="3"/>
        <v>USD</v>
      </c>
      <c r="N235" s="51">
        <f>VLOOKUP($L235,TABLE!$I$3:$O$13,N$2,FALSE)/VLOOKUP($M235,TABLE!$I$3:$O$13,N$2,FALSE)*F235</f>
        <v>21.129106363427521</v>
      </c>
      <c r="O235" s="51">
        <f>VLOOKUP($L235,TABLE!$I$3:$O$13,O$2,FALSE)/VLOOKUP($M235,TABLE!$I$3:$O$13,O$2,FALSE)*G235</f>
        <v>25.441123514584085</v>
      </c>
      <c r="P235" s="51">
        <f>VLOOKUP($L235,TABLE!$I$3:$O$13,P$2,FALSE)/VLOOKUP($M235,TABLE!$I$3:$O$13,P$2,FALSE)*H235</f>
        <v>21.404200874293636</v>
      </c>
      <c r="Q235" s="51">
        <f>VLOOKUP($L235,TABLE!$I$3:$O$13,Q$2,FALSE)/VLOOKUP($M235,TABLE!$I$3:$O$13,Q$2,FALSE)*I235</f>
        <v>22.074871543919745</v>
      </c>
      <c r="R235" s="51">
        <f>VLOOKUP($L235,TABLE!$I$3:$O$13,R$2,FALSE)/VLOOKUP($M235,TABLE!$I$3:$O$13,R$2,FALSE)*J235</f>
        <v>20.609579100145137</v>
      </c>
    </row>
    <row r="236" spans="2:18">
      <c r="B236" t="s">
        <v>29</v>
      </c>
      <c r="C236" t="s">
        <v>124</v>
      </c>
      <c r="D236" t="s">
        <v>18</v>
      </c>
      <c r="E236" t="s">
        <v>442</v>
      </c>
      <c r="F236" s="51">
        <v>177.74</v>
      </c>
      <c r="G236" s="51">
        <v>214.66</v>
      </c>
      <c r="H236" s="51">
        <v>237.09</v>
      </c>
      <c r="I236" s="51">
        <v>266.83999999999997</v>
      </c>
      <c r="J236" s="51">
        <v>291.88</v>
      </c>
      <c r="L236" t="str">
        <f>VLOOKUP(B236,TABLE!D:E,2,FALSE)</f>
        <v>BRL</v>
      </c>
      <c r="M236" t="str">
        <f t="shared" si="3"/>
        <v>USD</v>
      </c>
      <c r="N236" s="51">
        <f>VLOOKUP($L236,TABLE!$I$3:$O$13,N$2,FALSE)/VLOOKUP($M236,TABLE!$I$3:$O$13,N$2,FALSE)*F236</f>
        <v>102.07902595910866</v>
      </c>
      <c r="O236" s="51">
        <f>VLOOKUP($L236,TABLE!$I$3:$O$13,O$2,FALSE)/VLOOKUP($M236,TABLE!$I$3:$O$13,O$2,FALSE)*G236</f>
        <v>128.83207298043453</v>
      </c>
      <c r="P236" s="51">
        <f>VLOOKUP($L236,TABLE!$I$3:$O$13,P$2,FALSE)/VLOOKUP($M236,TABLE!$I$3:$O$13,P$2,FALSE)*H236</f>
        <v>126.39407186267195</v>
      </c>
      <c r="Q236" s="51">
        <f>VLOOKUP($L236,TABLE!$I$3:$O$13,Q$2,FALSE)/VLOOKUP($M236,TABLE!$I$3:$O$13,Q$2,FALSE)*I236</f>
        <v>130.57988744800588</v>
      </c>
      <c r="R236" s="51">
        <f>VLOOKUP($L236,TABLE!$I$3:$O$13,R$2,FALSE)/VLOOKUP($M236,TABLE!$I$3:$O$13,R$2,FALSE)*J236</f>
        <v>124.59660206608042</v>
      </c>
    </row>
    <row r="237" spans="2:18">
      <c r="B237" t="s">
        <v>29</v>
      </c>
      <c r="C237" t="s">
        <v>124</v>
      </c>
      <c r="D237" t="s">
        <v>21</v>
      </c>
      <c r="E237" t="s">
        <v>443</v>
      </c>
      <c r="F237" s="51">
        <v>17.47</v>
      </c>
      <c r="G237" s="51">
        <v>26.04</v>
      </c>
      <c r="H237" s="51">
        <v>20.69</v>
      </c>
      <c r="I237" s="51">
        <v>25.34</v>
      </c>
      <c r="J237" s="51">
        <v>21.47</v>
      </c>
      <c r="L237" t="str">
        <f>VLOOKUP(B237,TABLE!D:E,2,FALSE)</f>
        <v>BRL</v>
      </c>
      <c r="M237" t="str">
        <f t="shared" si="3"/>
        <v>USD</v>
      </c>
      <c r="N237" s="51">
        <f>VLOOKUP($L237,TABLE!$I$3:$O$13,N$2,FALSE)/VLOOKUP($M237,TABLE!$I$3:$O$13,N$2,FALSE)*F237</f>
        <v>10.033310360670802</v>
      </c>
      <c r="O237" s="51">
        <f>VLOOKUP($L237,TABLE!$I$3:$O$13,O$2,FALSE)/VLOOKUP($M237,TABLE!$I$3:$O$13,O$2,FALSE)*G237</f>
        <v>15.628375945264676</v>
      </c>
      <c r="P237" s="51">
        <f>VLOOKUP($L237,TABLE!$I$3:$O$13,P$2,FALSE)/VLOOKUP($M237,TABLE!$I$3:$O$13,P$2,FALSE)*H237</f>
        <v>11.029960550165265</v>
      </c>
      <c r="Q237" s="51">
        <f>VLOOKUP($L237,TABLE!$I$3:$O$13,Q$2,FALSE)/VLOOKUP($M237,TABLE!$I$3:$O$13,Q$2,FALSE)*I237</f>
        <v>12.400293613897725</v>
      </c>
      <c r="R237" s="51">
        <f>VLOOKUP($L237,TABLE!$I$3:$O$13,R$2,FALSE)/VLOOKUP($M237,TABLE!$I$3:$O$13,R$2,FALSE)*J237</f>
        <v>9.1650303082045586</v>
      </c>
    </row>
    <row r="238" spans="2:18">
      <c r="B238" t="s">
        <v>29</v>
      </c>
      <c r="C238" t="s">
        <v>124</v>
      </c>
      <c r="D238" t="s">
        <v>20</v>
      </c>
      <c r="E238" t="s">
        <v>444</v>
      </c>
      <c r="F238" s="51">
        <v>3.85</v>
      </c>
      <c r="G238" s="51">
        <v>5.8</v>
      </c>
      <c r="H238" s="51">
        <v>8.85</v>
      </c>
      <c r="I238" s="51">
        <v>9.26</v>
      </c>
      <c r="J238" s="51">
        <v>8.84</v>
      </c>
      <c r="L238" t="str">
        <f>VLOOKUP(B238,TABLE!D:E,2,FALSE)</f>
        <v>BRL</v>
      </c>
      <c r="M238" t="str">
        <f t="shared" si="3"/>
        <v>USD</v>
      </c>
      <c r="N238" s="51">
        <f>VLOOKUP($L238,TABLE!$I$3:$O$13,N$2,FALSE)/VLOOKUP($M238,TABLE!$I$3:$O$13,N$2,FALSE)*F238</f>
        <v>2.2111187686652882</v>
      </c>
      <c r="O238" s="51">
        <f>VLOOKUP($L238,TABLE!$I$3:$O$13,O$2,FALSE)/VLOOKUP($M238,TABLE!$I$3:$O$13,O$2,FALSE)*G238</f>
        <v>3.4809746729084146</v>
      </c>
      <c r="P238" s="51">
        <f>VLOOKUP($L238,TABLE!$I$3:$O$13,P$2,FALSE)/VLOOKUP($M238,TABLE!$I$3:$O$13,P$2,FALSE)*H238</f>
        <v>4.7179869922166544</v>
      </c>
      <c r="Q238" s="51">
        <f>VLOOKUP($L238,TABLE!$I$3:$O$13,Q$2,FALSE)/VLOOKUP($M238,TABLE!$I$3:$O$13,Q$2,FALSE)*I238</f>
        <v>4.5314411548813309</v>
      </c>
      <c r="R238" s="51">
        <f>VLOOKUP($L238,TABLE!$I$3:$O$13,R$2,FALSE)/VLOOKUP($M238,TABLE!$I$3:$O$13,R$2,FALSE)*J238</f>
        <v>3.7735849056603774</v>
      </c>
    </row>
    <row r="239" spans="2:18">
      <c r="B239" t="s">
        <v>29</v>
      </c>
      <c r="C239" t="s">
        <v>124</v>
      </c>
      <c r="D239" t="s">
        <v>25</v>
      </c>
      <c r="E239" t="s">
        <v>445</v>
      </c>
      <c r="F239" s="51">
        <v>95.71</v>
      </c>
      <c r="G239" s="51">
        <v>114.89</v>
      </c>
      <c r="H239" s="51">
        <v>145.53</v>
      </c>
      <c r="I239" s="51">
        <v>152.91</v>
      </c>
      <c r="J239" s="51">
        <v>152.12</v>
      </c>
      <c r="L239" t="str">
        <f>VLOOKUP(B239,TABLE!D:E,2,FALSE)</f>
        <v>BRL</v>
      </c>
      <c r="M239" t="str">
        <f t="shared" si="3"/>
        <v>USD</v>
      </c>
      <c r="N239" s="51">
        <f>VLOOKUP($L239,TABLE!$I$3:$O$13,N$2,FALSE)/VLOOKUP($M239,TABLE!$I$3:$O$13,N$2,FALSE)*F239</f>
        <v>54.967838272455772</v>
      </c>
      <c r="O239" s="51">
        <f>VLOOKUP($L239,TABLE!$I$3:$O$13,O$2,FALSE)/VLOOKUP($M239,TABLE!$I$3:$O$13,O$2,FALSE)*G239</f>
        <v>68.953306925939273</v>
      </c>
      <c r="P239" s="51">
        <f>VLOOKUP($L239,TABLE!$I$3:$O$13,P$2,FALSE)/VLOOKUP($M239,TABLE!$I$3:$O$13,P$2,FALSE)*H239</f>
        <v>77.582897963535572</v>
      </c>
      <c r="Q239" s="51">
        <f>VLOOKUP($L239,TABLE!$I$3:$O$13,Q$2,FALSE)/VLOOKUP($M239,TABLE!$I$3:$O$13,Q$2,FALSE)*I239</f>
        <v>74.827501835086863</v>
      </c>
      <c r="R239" s="51">
        <f>VLOOKUP($L239,TABLE!$I$3:$O$13,R$2,FALSE)/VLOOKUP($M239,TABLE!$I$3:$O$13,R$2,FALSE)*J239</f>
        <v>64.936395458038078</v>
      </c>
    </row>
    <row r="240" spans="2:18">
      <c r="B240" t="s">
        <v>29</v>
      </c>
      <c r="C240" t="s">
        <v>124</v>
      </c>
      <c r="D240" t="s">
        <v>30</v>
      </c>
      <c r="E240" t="s">
        <v>446</v>
      </c>
      <c r="F240" s="51">
        <v>48.5</v>
      </c>
      <c r="G240" s="51">
        <v>83.23</v>
      </c>
      <c r="H240" s="51">
        <v>102.02</v>
      </c>
      <c r="I240" s="51">
        <v>91.27</v>
      </c>
      <c r="J240" s="51">
        <v>101.49</v>
      </c>
      <c r="L240" t="str">
        <f>VLOOKUP(B240,TABLE!D:E,2,FALSE)</f>
        <v>BRL</v>
      </c>
      <c r="M240" t="str">
        <f t="shared" si="3"/>
        <v>USD</v>
      </c>
      <c r="N240" s="51">
        <f>VLOOKUP($L240,TABLE!$I$3:$O$13,N$2,FALSE)/VLOOKUP($M240,TABLE!$I$3:$O$13,N$2,FALSE)*F240</f>
        <v>27.854353319549737</v>
      </c>
      <c r="O240" s="51">
        <f>VLOOKUP($L240,TABLE!$I$3:$O$13,O$2,FALSE)/VLOOKUP($M240,TABLE!$I$3:$O$13,O$2,FALSE)*G240</f>
        <v>49.951986556235752</v>
      </c>
      <c r="P240" s="51">
        <f>VLOOKUP($L240,TABLE!$I$3:$O$13,P$2,FALSE)/VLOOKUP($M240,TABLE!$I$3:$O$13,P$2,FALSE)*H240</f>
        <v>54.387461349824079</v>
      </c>
      <c r="Q240" s="51">
        <f>VLOOKUP($L240,TABLE!$I$3:$O$13,Q$2,FALSE)/VLOOKUP($M240,TABLE!$I$3:$O$13,Q$2,FALSE)*I240</f>
        <v>44.663567408857354</v>
      </c>
      <c r="R240" s="51">
        <f>VLOOKUP($L240,TABLE!$I$3:$O$13,R$2,FALSE)/VLOOKUP($M240,TABLE!$I$3:$O$13,R$2,FALSE)*J240</f>
        <v>43.323657474600871</v>
      </c>
    </row>
    <row r="241" spans="2:18">
      <c r="B241" t="s">
        <v>29</v>
      </c>
      <c r="C241" t="s">
        <v>124</v>
      </c>
      <c r="D241" t="s">
        <v>34</v>
      </c>
      <c r="E241" t="s">
        <v>447</v>
      </c>
      <c r="F241" s="51">
        <v>20.36</v>
      </c>
      <c r="G241" s="51">
        <v>49.04</v>
      </c>
      <c r="H241" s="51">
        <v>59.22</v>
      </c>
      <c r="I241" s="51">
        <v>40.98</v>
      </c>
      <c r="J241" s="51">
        <v>48.57</v>
      </c>
      <c r="L241" t="str">
        <f>VLOOKUP(B241,TABLE!D:E,2,FALSE)</f>
        <v>BRL</v>
      </c>
      <c r="M241" t="str">
        <f t="shared" si="3"/>
        <v>USD</v>
      </c>
      <c r="N241" s="51">
        <f>VLOOKUP($L241,TABLE!$I$3:$O$13,N$2,FALSE)/VLOOKUP($M241,TABLE!$I$3:$O$13,N$2,FALSE)*F241</f>
        <v>11.693085228577992</v>
      </c>
      <c r="O241" s="51">
        <f>VLOOKUP($L241,TABLE!$I$3:$O$13,O$2,FALSE)/VLOOKUP($M241,TABLE!$I$3:$O$13,O$2,FALSE)*G241</f>
        <v>29.432241027487699</v>
      </c>
      <c r="P241" s="51">
        <f>VLOOKUP($L241,TABLE!$I$3:$O$13,P$2,FALSE)/VLOOKUP($M241,TABLE!$I$3:$O$13,P$2,FALSE)*H241</f>
        <v>31.570529907239582</v>
      </c>
      <c r="Q241" s="51">
        <f>VLOOKUP($L241,TABLE!$I$3:$O$13,Q$2,FALSE)/VLOOKUP($M241,TABLE!$I$3:$O$13,Q$2,FALSE)*I241</f>
        <v>20.053829214582823</v>
      </c>
      <c r="R241" s="51">
        <f>VLOOKUP($L241,TABLE!$I$3:$O$13,R$2,FALSE)/VLOOKUP($M241,TABLE!$I$3:$O$13,R$2,FALSE)*J241</f>
        <v>20.733373175104585</v>
      </c>
    </row>
    <row r="242" spans="2:18">
      <c r="B242" t="s">
        <v>29</v>
      </c>
      <c r="C242" t="s">
        <v>124</v>
      </c>
      <c r="D242" t="s">
        <v>48</v>
      </c>
      <c r="E242" t="s">
        <v>448</v>
      </c>
      <c r="F242" s="51">
        <v>10.34</v>
      </c>
      <c r="G242" s="51">
        <v>30.29</v>
      </c>
      <c r="H242" s="51">
        <v>37.81</v>
      </c>
      <c r="I242" s="51">
        <v>10.029999999999999</v>
      </c>
      <c r="J242" s="51">
        <v>0.11899999999999999</v>
      </c>
      <c r="L242" t="str">
        <f>VLOOKUP(B242,TABLE!D:E,2,FALSE)</f>
        <v>BRL</v>
      </c>
      <c r="M242" t="str">
        <f t="shared" si="3"/>
        <v>USD</v>
      </c>
      <c r="N242" s="51">
        <f>VLOOKUP($L242,TABLE!$I$3:$O$13,N$2,FALSE)/VLOOKUP($M242,TABLE!$I$3:$O$13,N$2,FALSE)*F242</f>
        <v>5.9384332644153455</v>
      </c>
      <c r="O242" s="51">
        <f>VLOOKUP($L242,TABLE!$I$3:$O$13,O$2,FALSE)/VLOOKUP($M242,TABLE!$I$3:$O$13,O$2,FALSE)*G242</f>
        <v>18.179090145240668</v>
      </c>
      <c r="P242" s="51">
        <f>VLOOKUP($L242,TABLE!$I$3:$O$13,P$2,FALSE)/VLOOKUP($M242,TABLE!$I$3:$O$13,P$2,FALSE)*H242</f>
        <v>20.156733127199065</v>
      </c>
      <c r="Q242" s="51">
        <f>VLOOKUP($L242,TABLE!$I$3:$O$13,Q$2,FALSE)/VLOOKUP($M242,TABLE!$I$3:$O$13,Q$2,FALSE)*I242</f>
        <v>4.9082456569610962</v>
      </c>
      <c r="R242" s="51">
        <f>VLOOKUP($L242,TABLE!$I$3:$O$13,R$2,FALSE)/VLOOKUP($M242,TABLE!$I$3:$O$13,R$2,FALSE)*J242</f>
        <v>5.0798258345428157E-2</v>
      </c>
    </row>
    <row r="243" spans="2:18">
      <c r="B243" t="s">
        <v>29</v>
      </c>
      <c r="C243" t="s">
        <v>124</v>
      </c>
      <c r="D243" t="s">
        <v>50</v>
      </c>
      <c r="E243" t="s">
        <v>449</v>
      </c>
      <c r="F243" s="51">
        <v>19.510000000000002</v>
      </c>
      <c r="G243" s="51">
        <v>49.35</v>
      </c>
      <c r="H243" s="51">
        <v>58.07</v>
      </c>
      <c r="I243" s="51">
        <v>37.729999999999997</v>
      </c>
      <c r="J243" s="51">
        <v>47.87</v>
      </c>
      <c r="L243" t="str">
        <f>VLOOKUP(B243,TABLE!D:E,2,FALSE)</f>
        <v>BRL</v>
      </c>
      <c r="M243" t="str">
        <f t="shared" si="3"/>
        <v>USD</v>
      </c>
      <c r="N243" s="51">
        <f>VLOOKUP($L243,TABLE!$I$3:$O$13,N$2,FALSE)/VLOOKUP($M243,TABLE!$I$3:$O$13,N$2,FALSE)*F243</f>
        <v>11.204916149781761</v>
      </c>
      <c r="O243" s="51">
        <f>VLOOKUP($L243,TABLE!$I$3:$O$13,O$2,FALSE)/VLOOKUP($M243,TABLE!$I$3:$O$13,O$2,FALSE)*G243</f>
        <v>29.618293122074185</v>
      </c>
      <c r="P243" s="51">
        <f>VLOOKUP($L243,TABLE!$I$3:$O$13,P$2,FALSE)/VLOOKUP($M243,TABLE!$I$3:$O$13,P$2,FALSE)*H243</f>
        <v>30.957458151188831</v>
      </c>
      <c r="Q243" s="51">
        <f>VLOOKUP($L243,TABLE!$I$3:$O$13,Q$2,FALSE)/VLOOKUP($M243,TABLE!$I$3:$O$13,Q$2,FALSE)*I243</f>
        <v>18.463420601908489</v>
      </c>
      <c r="R243" s="51">
        <f>VLOOKUP($L243,TABLE!$I$3:$O$13,R$2,FALSE)/VLOOKUP($M243,TABLE!$I$3:$O$13,R$2,FALSE)*J243</f>
        <v>20.434559890719711</v>
      </c>
    </row>
    <row r="244" spans="2:18">
      <c r="B244" t="s">
        <v>29</v>
      </c>
      <c r="C244" t="s">
        <v>124</v>
      </c>
      <c r="D244" t="s">
        <v>44</v>
      </c>
      <c r="E244" t="s">
        <v>450</v>
      </c>
      <c r="F244" s="51">
        <v>1.86</v>
      </c>
      <c r="G244" s="51">
        <v>2.16</v>
      </c>
      <c r="H244" s="51">
        <v>2.71</v>
      </c>
      <c r="I244" s="51">
        <v>3.34</v>
      </c>
      <c r="J244" s="51">
        <v>3.68</v>
      </c>
      <c r="L244" t="str">
        <f>VLOOKUP(B244,TABLE!D:E,2,FALSE)</f>
        <v>BRL</v>
      </c>
      <c r="M244" t="str">
        <f t="shared" si="3"/>
        <v>USD</v>
      </c>
      <c r="N244" s="51">
        <f>VLOOKUP($L244,TABLE!$I$3:$O$13,N$2,FALSE)/VLOOKUP($M244,TABLE!$I$3:$O$13,N$2,FALSE)*F244</f>
        <v>1.0682288077188147</v>
      </c>
      <c r="O244" s="51">
        <f>VLOOKUP($L244,TABLE!$I$3:$O$13,O$2,FALSE)/VLOOKUP($M244,TABLE!$I$3:$O$13,O$2,FALSE)*G244</f>
        <v>1.2963629816348581</v>
      </c>
      <c r="P244" s="51">
        <f>VLOOKUP($L244,TABLE!$I$3:$O$13,P$2,FALSE)/VLOOKUP($M244,TABLE!$I$3:$O$13,P$2,FALSE)*H244</f>
        <v>1.4447169207804671</v>
      </c>
      <c r="Q244" s="51">
        <f>VLOOKUP($L244,TABLE!$I$3:$O$13,Q$2,FALSE)/VLOOKUP($M244,TABLE!$I$3:$O$13,Q$2,FALSE)*I244</f>
        <v>1.6344506973330071</v>
      </c>
      <c r="R244" s="51">
        <f>VLOOKUP($L244,TABLE!$I$3:$O$13,R$2,FALSE)/VLOOKUP($M244,TABLE!$I$3:$O$13,R$2,FALSE)*J244</f>
        <v>1.5709041236233245</v>
      </c>
    </row>
    <row r="245" spans="2:18">
      <c r="B245" t="s">
        <v>29</v>
      </c>
      <c r="C245" t="s">
        <v>124</v>
      </c>
      <c r="D245" t="s">
        <v>42</v>
      </c>
      <c r="E245" t="s">
        <v>451</v>
      </c>
      <c r="F245" s="51">
        <v>0.70499999999999996</v>
      </c>
      <c r="G245" s="51">
        <v>0.434</v>
      </c>
      <c r="H245" s="51">
        <v>0.98699999999999999</v>
      </c>
      <c r="I245" s="51">
        <v>0</v>
      </c>
      <c r="J245" s="51">
        <v>0</v>
      </c>
      <c r="L245" t="str">
        <f>VLOOKUP(B245,TABLE!D:E,2,FALSE)</f>
        <v>BRL</v>
      </c>
      <c r="M245" t="str">
        <f t="shared" si="3"/>
        <v>USD</v>
      </c>
      <c r="N245" s="51">
        <f>VLOOKUP($L245,TABLE!$I$3:$O$13,N$2,FALSE)/VLOOKUP($M245,TABLE!$I$3:$O$13,N$2,FALSE)*F245</f>
        <v>0.40489317711922812</v>
      </c>
      <c r="O245" s="51">
        <f>VLOOKUP($L245,TABLE!$I$3:$O$13,O$2,FALSE)/VLOOKUP($M245,TABLE!$I$3:$O$13,O$2,FALSE)*G245</f>
        <v>0.26047293242107794</v>
      </c>
      <c r="P245" s="51">
        <f>VLOOKUP($L245,TABLE!$I$3:$O$13,P$2,FALSE)/VLOOKUP($M245,TABLE!$I$3:$O$13,P$2,FALSE)*H245</f>
        <v>0.52617549845399303</v>
      </c>
      <c r="Q245" s="51">
        <f>VLOOKUP($L245,TABLE!$I$3:$O$13,Q$2,FALSE)/VLOOKUP($M245,TABLE!$I$3:$O$13,Q$2,FALSE)*I245</f>
        <v>0</v>
      </c>
      <c r="R245" s="51">
        <f>VLOOKUP($L245,TABLE!$I$3:$O$13,R$2,FALSE)/VLOOKUP($M245,TABLE!$I$3:$O$13,R$2,FALSE)*J245</f>
        <v>0</v>
      </c>
    </row>
    <row r="246" spans="2:18">
      <c r="B246" t="s">
        <v>29</v>
      </c>
      <c r="C246" t="s">
        <v>124</v>
      </c>
      <c r="D246" t="s">
        <v>145</v>
      </c>
      <c r="E246" t="s">
        <v>452</v>
      </c>
      <c r="F246" s="51"/>
      <c r="G246" s="51"/>
      <c r="H246" s="51"/>
      <c r="I246" s="51"/>
      <c r="J246" s="51"/>
      <c r="L246" t="str">
        <f>VLOOKUP(B246,TABLE!D:E,2,FALSE)</f>
        <v>BRL</v>
      </c>
      <c r="M246" t="str">
        <f t="shared" si="3"/>
        <v>USD</v>
      </c>
      <c r="N246" s="51">
        <f>VLOOKUP($L246,TABLE!$I$3:$O$13,N$2,FALSE)/VLOOKUP($M246,TABLE!$I$3:$O$13,N$2,FALSE)*F246</f>
        <v>0</v>
      </c>
      <c r="O246" s="51">
        <f>VLOOKUP($L246,TABLE!$I$3:$O$13,O$2,FALSE)/VLOOKUP($M246,TABLE!$I$3:$O$13,O$2,FALSE)*G246</f>
        <v>0</v>
      </c>
      <c r="P246" s="51">
        <f>VLOOKUP($L246,TABLE!$I$3:$O$13,P$2,FALSE)/VLOOKUP($M246,TABLE!$I$3:$O$13,P$2,FALSE)*H246</f>
        <v>0</v>
      </c>
      <c r="Q246" s="51">
        <f>VLOOKUP($L246,TABLE!$I$3:$O$13,Q$2,FALSE)/VLOOKUP($M246,TABLE!$I$3:$O$13,Q$2,FALSE)*I246</f>
        <v>0</v>
      </c>
      <c r="R246" s="51">
        <f>VLOOKUP($L246,TABLE!$I$3:$O$13,R$2,FALSE)/VLOOKUP($M246,TABLE!$I$3:$O$13,R$2,FALSE)*J246</f>
        <v>0</v>
      </c>
    </row>
    <row r="247" spans="2:18">
      <c r="B247" t="s">
        <v>29</v>
      </c>
      <c r="C247" t="s">
        <v>124</v>
      </c>
      <c r="D247" t="s">
        <v>36</v>
      </c>
      <c r="E247" t="s">
        <v>453</v>
      </c>
      <c r="F247" s="51">
        <v>3.93</v>
      </c>
      <c r="G247" s="51">
        <v>4.46</v>
      </c>
      <c r="H247" s="51">
        <v>6.44</v>
      </c>
      <c r="I247" s="51">
        <v>6.68</v>
      </c>
      <c r="J247" s="51">
        <v>4.1399999999999997</v>
      </c>
      <c r="L247" t="str">
        <f>VLOOKUP(B247,TABLE!D:E,2,FALSE)</f>
        <v>BRL</v>
      </c>
      <c r="M247" t="str">
        <f t="shared" si="3"/>
        <v>USD</v>
      </c>
      <c r="N247" s="51">
        <f>VLOOKUP($L247,TABLE!$I$3:$O$13,N$2,FALSE)/VLOOKUP($M247,TABLE!$I$3:$O$13,N$2,FALSE)*F247</f>
        <v>2.2570640937284634</v>
      </c>
      <c r="O247" s="51">
        <f>VLOOKUP($L247,TABLE!$I$3:$O$13,O$2,FALSE)/VLOOKUP($M247,TABLE!$I$3:$O$13,O$2,FALSE)*G247</f>
        <v>2.6767494898571602</v>
      </c>
      <c r="P247" s="51">
        <f>VLOOKUP($L247,TABLE!$I$3:$O$13,P$2,FALSE)/VLOOKUP($M247,TABLE!$I$3:$O$13,P$2,FALSE)*H247</f>
        <v>3.4332018338842101</v>
      </c>
      <c r="Q247" s="51">
        <f>VLOOKUP($L247,TABLE!$I$3:$O$13,Q$2,FALSE)/VLOOKUP($M247,TABLE!$I$3:$O$13,Q$2,FALSE)*I247</f>
        <v>3.2689013946660141</v>
      </c>
      <c r="R247" s="51">
        <f>VLOOKUP($L247,TABLE!$I$3:$O$13,R$2,FALSE)/VLOOKUP($M247,TABLE!$I$3:$O$13,R$2,FALSE)*J247</f>
        <v>1.76726713907624</v>
      </c>
    </row>
    <row r="248" spans="2:18">
      <c r="B248" t="s">
        <v>29</v>
      </c>
      <c r="C248" t="s">
        <v>124</v>
      </c>
      <c r="D248" t="s">
        <v>38</v>
      </c>
      <c r="E248" t="s">
        <v>454</v>
      </c>
      <c r="F248" s="51">
        <v>1.96</v>
      </c>
      <c r="G248" s="51">
        <v>1.57</v>
      </c>
      <c r="H248" s="51">
        <v>2.82</v>
      </c>
      <c r="I248" s="51">
        <v>2.89</v>
      </c>
      <c r="J248" s="51">
        <v>1.75</v>
      </c>
      <c r="L248" t="str">
        <f>VLOOKUP(B248,TABLE!D:E,2,FALSE)</f>
        <v>BRL</v>
      </c>
      <c r="M248" t="str">
        <f t="shared" si="3"/>
        <v>USD</v>
      </c>
      <c r="N248" s="51">
        <f>VLOOKUP($L248,TABLE!$I$3:$O$13,N$2,FALSE)/VLOOKUP($M248,TABLE!$I$3:$O$13,N$2,FALSE)*F248</f>
        <v>1.1256604640477832</v>
      </c>
      <c r="O248" s="51">
        <f>VLOOKUP($L248,TABLE!$I$3:$O$13,O$2,FALSE)/VLOOKUP($M248,TABLE!$I$3:$O$13,O$2,FALSE)*G248</f>
        <v>0.94226383387348467</v>
      </c>
      <c r="P248" s="51">
        <f>VLOOKUP($L248,TABLE!$I$3:$O$13,P$2,FALSE)/VLOOKUP($M248,TABLE!$I$3:$O$13,P$2,FALSE)*H248</f>
        <v>1.5033585670114085</v>
      </c>
      <c r="Q248" s="51">
        <f>VLOOKUP($L248,TABLE!$I$3:$O$13,Q$2,FALSE)/VLOOKUP($M248,TABLE!$I$3:$O$13,Q$2,FALSE)*I248</f>
        <v>1.414240274039638</v>
      </c>
      <c r="R248" s="51">
        <f>VLOOKUP($L248,TABLE!$I$3:$O$13,R$2,FALSE)/VLOOKUP($M248,TABLE!$I$3:$O$13,R$2,FALSE)*J248</f>
        <v>0.74703321096217878</v>
      </c>
    </row>
    <row r="249" spans="2:18">
      <c r="B249" t="s">
        <v>29</v>
      </c>
      <c r="C249" t="s">
        <v>124</v>
      </c>
      <c r="D249" t="s">
        <v>40</v>
      </c>
      <c r="E249" t="s">
        <v>455</v>
      </c>
      <c r="F249" s="51">
        <v>1.96</v>
      </c>
      <c r="G249" s="51">
        <v>2.89</v>
      </c>
      <c r="H249" s="51">
        <v>3.62</v>
      </c>
      <c r="I249" s="51">
        <v>3.79</v>
      </c>
      <c r="J249" s="51">
        <v>2.39</v>
      </c>
      <c r="L249" t="str">
        <f>VLOOKUP(B249,TABLE!D:E,2,FALSE)</f>
        <v>BRL</v>
      </c>
      <c r="M249" t="str">
        <f t="shared" si="3"/>
        <v>USD</v>
      </c>
      <c r="N249" s="51">
        <f>VLOOKUP($L249,TABLE!$I$3:$O$13,N$2,FALSE)/VLOOKUP($M249,TABLE!$I$3:$O$13,N$2,FALSE)*F249</f>
        <v>1.1256604640477832</v>
      </c>
      <c r="O249" s="51">
        <f>VLOOKUP($L249,TABLE!$I$3:$O$13,O$2,FALSE)/VLOOKUP($M249,TABLE!$I$3:$O$13,O$2,FALSE)*G249</f>
        <v>1.7344856559836757</v>
      </c>
      <c r="P249" s="51">
        <f>VLOOKUP($L249,TABLE!$I$3:$O$13,P$2,FALSE)/VLOOKUP($M249,TABLE!$I$3:$O$13,P$2,FALSE)*H249</f>
        <v>1.9298432668728012</v>
      </c>
      <c r="Q249" s="51">
        <f>VLOOKUP($L249,TABLE!$I$3:$O$13,Q$2,FALSE)/VLOOKUP($M249,TABLE!$I$3:$O$13,Q$2,FALSE)*I249</f>
        <v>1.8546611206263763</v>
      </c>
      <c r="R249" s="51">
        <f>VLOOKUP($L249,TABLE!$I$3:$O$13,R$2,FALSE)/VLOOKUP($M249,TABLE!$I$3:$O$13,R$2,FALSE)*J249</f>
        <v>1.0202339281140613</v>
      </c>
    </row>
    <row r="250" spans="2:18">
      <c r="B250" t="s">
        <v>29</v>
      </c>
      <c r="C250" t="s">
        <v>124</v>
      </c>
      <c r="D250" t="s">
        <v>46</v>
      </c>
      <c r="E250" t="s">
        <v>456</v>
      </c>
      <c r="F250" s="51">
        <v>15.46</v>
      </c>
      <c r="G250" s="51">
        <v>37.729999999999997</v>
      </c>
      <c r="H250" s="51">
        <v>44.07</v>
      </c>
      <c r="I250" s="51">
        <v>5.69</v>
      </c>
      <c r="J250" s="51">
        <v>14</v>
      </c>
      <c r="L250" t="str">
        <f>VLOOKUP(B250,TABLE!D:E,2,FALSE)</f>
        <v>BRL</v>
      </c>
      <c r="M250" t="str">
        <f t="shared" si="3"/>
        <v>USD</v>
      </c>
      <c r="N250" s="51">
        <f>VLOOKUP($L250,TABLE!$I$3:$O$13,N$2,FALSE)/VLOOKUP($M250,TABLE!$I$3:$O$13,N$2,FALSE)*F250</f>
        <v>8.8789340684585341</v>
      </c>
      <c r="O250" s="51">
        <f>VLOOKUP($L250,TABLE!$I$3:$O$13,O$2,FALSE)/VLOOKUP($M250,TABLE!$I$3:$O$13,O$2,FALSE)*G250</f>
        <v>22.644340415316289</v>
      </c>
      <c r="P250" s="51">
        <f>VLOOKUP($L250,TABLE!$I$3:$O$13,P$2,FALSE)/VLOOKUP($M250,TABLE!$I$3:$O$13,P$2,FALSE)*H250</f>
        <v>23.493975903614462</v>
      </c>
      <c r="Q250" s="51">
        <f>VLOOKUP($L250,TABLE!$I$3:$O$13,Q$2,FALSE)/VLOOKUP($M250,TABLE!$I$3:$O$13,Q$2,FALSE)*I250</f>
        <v>2.7844384634206021</v>
      </c>
      <c r="R250" s="51">
        <f>VLOOKUP($L250,TABLE!$I$3:$O$13,R$2,FALSE)/VLOOKUP($M250,TABLE!$I$3:$O$13,R$2,FALSE)*J250</f>
        <v>5.9762656876974303</v>
      </c>
    </row>
    <row r="251" spans="2:18">
      <c r="B251" t="s">
        <v>31</v>
      </c>
      <c r="C251" t="s">
        <v>124</v>
      </c>
      <c r="D251" t="s">
        <v>9</v>
      </c>
      <c r="E251" t="s">
        <v>457</v>
      </c>
      <c r="F251" s="51">
        <v>3.12</v>
      </c>
      <c r="G251" s="51">
        <v>4.57</v>
      </c>
      <c r="H251" s="51">
        <v>5.22</v>
      </c>
      <c r="I251" s="51">
        <v>4.71</v>
      </c>
      <c r="J251" s="51">
        <v>3.51</v>
      </c>
      <c r="L251" t="str">
        <f>VLOOKUP(B251,TABLE!D:E,2,FALSE)</f>
        <v>BRL</v>
      </c>
      <c r="M251" t="str">
        <f t="shared" si="3"/>
        <v>USD</v>
      </c>
      <c r="N251" s="51">
        <f>VLOOKUP($L251,TABLE!$I$3:$O$13,N$2,FALSE)/VLOOKUP($M251,TABLE!$I$3:$O$13,N$2,FALSE)*F251</f>
        <v>1.791867677463818</v>
      </c>
      <c r="O251" s="51">
        <f>VLOOKUP($L251,TABLE!$I$3:$O$13,O$2,FALSE)/VLOOKUP($M251,TABLE!$I$3:$O$13,O$2,FALSE)*G251</f>
        <v>2.7427679750330096</v>
      </c>
      <c r="P251" s="51">
        <f>VLOOKUP($L251,TABLE!$I$3:$O$13,P$2,FALSE)/VLOOKUP($M251,TABLE!$I$3:$O$13,P$2,FALSE)*H251</f>
        <v>2.7828126665955861</v>
      </c>
      <c r="Q251" s="51">
        <f>VLOOKUP($L251,TABLE!$I$3:$O$13,Q$2,FALSE)/VLOOKUP($M251,TABLE!$I$3:$O$13,Q$2,FALSE)*I251</f>
        <v>2.3048690971372645</v>
      </c>
      <c r="R251" s="51">
        <f>VLOOKUP($L251,TABLE!$I$3:$O$13,R$2,FALSE)/VLOOKUP($M251,TABLE!$I$3:$O$13,R$2,FALSE)*J251</f>
        <v>1.4983351831298557</v>
      </c>
    </row>
    <row r="252" spans="2:18">
      <c r="B252" t="s">
        <v>31</v>
      </c>
      <c r="C252" t="s">
        <v>124</v>
      </c>
      <c r="D252" t="s">
        <v>11</v>
      </c>
      <c r="E252" t="s">
        <v>458</v>
      </c>
      <c r="F252" s="51">
        <v>1.8</v>
      </c>
      <c r="G252" s="51">
        <v>1.74</v>
      </c>
      <c r="H252" s="51">
        <v>1.25</v>
      </c>
      <c r="I252" s="51">
        <v>1.57</v>
      </c>
      <c r="J252" s="51">
        <v>1.64</v>
      </c>
      <c r="L252" t="str">
        <f>VLOOKUP(B252,TABLE!D:E,2,FALSE)</f>
        <v>BRL</v>
      </c>
      <c r="M252" t="str">
        <f t="shared" si="3"/>
        <v>USD</v>
      </c>
      <c r="N252" s="51">
        <f>VLOOKUP($L252,TABLE!$I$3:$O$13,N$2,FALSE)/VLOOKUP($M252,TABLE!$I$3:$O$13,N$2,FALSE)*F252</f>
        <v>1.0337698139214335</v>
      </c>
      <c r="O252" s="51">
        <f>VLOOKUP($L252,TABLE!$I$3:$O$13,O$2,FALSE)/VLOOKUP($M252,TABLE!$I$3:$O$13,O$2,FALSE)*G252</f>
        <v>1.0442924018725244</v>
      </c>
      <c r="P252" s="51">
        <f>VLOOKUP($L252,TABLE!$I$3:$O$13,P$2,FALSE)/VLOOKUP($M252,TABLE!$I$3:$O$13,P$2,FALSE)*H252</f>
        <v>0.66638234353342585</v>
      </c>
      <c r="Q252" s="51">
        <f>VLOOKUP($L252,TABLE!$I$3:$O$13,Q$2,FALSE)/VLOOKUP($M252,TABLE!$I$3:$O$13,Q$2,FALSE)*I252</f>
        <v>0.76828969904575484</v>
      </c>
      <c r="R252" s="51">
        <f>VLOOKUP($L252,TABLE!$I$3:$O$13,R$2,FALSE)/VLOOKUP($M252,TABLE!$I$3:$O$13,R$2,FALSE)*J252</f>
        <v>0.70007683770169893</v>
      </c>
    </row>
    <row r="253" spans="2:18">
      <c r="B253" t="s">
        <v>31</v>
      </c>
      <c r="C253" t="s">
        <v>124</v>
      </c>
      <c r="D253" t="s">
        <v>13</v>
      </c>
      <c r="E253" t="s">
        <v>459</v>
      </c>
      <c r="F253" s="51">
        <v>3.71</v>
      </c>
      <c r="G253" s="51">
        <v>4.97</v>
      </c>
      <c r="H253" s="51">
        <v>5.13</v>
      </c>
      <c r="I253" s="51">
        <v>3.8</v>
      </c>
      <c r="J253" s="51">
        <v>3.86</v>
      </c>
      <c r="L253" t="str">
        <f>VLOOKUP(B253,TABLE!D:E,2,FALSE)</f>
        <v>BRL</v>
      </c>
      <c r="M253" t="str">
        <f t="shared" si="3"/>
        <v>USD</v>
      </c>
      <c r="N253" s="51">
        <f>VLOOKUP($L253,TABLE!$I$3:$O$13,N$2,FALSE)/VLOOKUP($M253,TABLE!$I$3:$O$13,N$2,FALSE)*F253</f>
        <v>2.1307144498047323</v>
      </c>
      <c r="O253" s="51">
        <f>VLOOKUP($L253,TABLE!$I$3:$O$13,O$2,FALSE)/VLOOKUP($M253,TABLE!$I$3:$O$13,O$2,FALSE)*G253</f>
        <v>2.9828351938542794</v>
      </c>
      <c r="P253" s="51">
        <f>VLOOKUP($L253,TABLE!$I$3:$O$13,P$2,FALSE)/VLOOKUP($M253,TABLE!$I$3:$O$13,P$2,FALSE)*H253</f>
        <v>2.7348331378611794</v>
      </c>
      <c r="Q253" s="51">
        <f>VLOOKUP($L253,TABLE!$I$3:$O$13,Q$2,FALSE)/VLOOKUP($M253,TABLE!$I$3:$O$13,Q$2,FALSE)*I253</f>
        <v>1.8595546855884511</v>
      </c>
      <c r="R253" s="51">
        <f>VLOOKUP($L253,TABLE!$I$3:$O$13,R$2,FALSE)/VLOOKUP($M253,TABLE!$I$3:$O$13,R$2,FALSE)*J253</f>
        <v>1.6477418253222913</v>
      </c>
    </row>
    <row r="254" spans="2:18">
      <c r="B254" t="s">
        <v>31</v>
      </c>
      <c r="C254" t="s">
        <v>124</v>
      </c>
      <c r="D254" t="s">
        <v>15</v>
      </c>
      <c r="E254" t="s">
        <v>460</v>
      </c>
      <c r="F254" s="51">
        <v>9.24</v>
      </c>
      <c r="G254" s="51">
        <v>12.27</v>
      </c>
      <c r="H254" s="51">
        <v>12.62</v>
      </c>
      <c r="I254" s="51">
        <v>10.71</v>
      </c>
      <c r="J254" s="51">
        <v>9.4600000000000009</v>
      </c>
      <c r="L254" t="str">
        <f>VLOOKUP(B254,TABLE!D:E,2,FALSE)</f>
        <v>BRL</v>
      </c>
      <c r="M254" t="str">
        <f t="shared" si="3"/>
        <v>USD</v>
      </c>
      <c r="N254" s="51">
        <f>VLOOKUP($L254,TABLE!$I$3:$O$13,N$2,FALSE)/VLOOKUP($M254,TABLE!$I$3:$O$13,N$2,FALSE)*F254</f>
        <v>5.3066850447966925</v>
      </c>
      <c r="O254" s="51">
        <f>VLOOKUP($L254,TABLE!$I$3:$O$13,O$2,FALSE)/VLOOKUP($M254,TABLE!$I$3:$O$13,O$2,FALSE)*G254</f>
        <v>7.3640619373424565</v>
      </c>
      <c r="P254" s="51">
        <f>VLOOKUP($L254,TABLE!$I$3:$O$13,P$2,FALSE)/VLOOKUP($M254,TABLE!$I$3:$O$13,P$2,FALSE)*H254</f>
        <v>6.7277961403134663</v>
      </c>
      <c r="Q254" s="51">
        <f>VLOOKUP($L254,TABLE!$I$3:$O$13,Q$2,FALSE)/VLOOKUP($M254,TABLE!$I$3:$O$13,Q$2,FALSE)*I254</f>
        <v>5.2410080743821883</v>
      </c>
      <c r="R254" s="51">
        <f>VLOOKUP($L254,TABLE!$I$3:$O$13,R$2,FALSE)/VLOOKUP($M254,TABLE!$I$3:$O$13,R$2,FALSE)*J254</f>
        <v>4.0382481004012636</v>
      </c>
    </row>
    <row r="255" spans="2:18">
      <c r="B255" t="s">
        <v>31</v>
      </c>
      <c r="C255" t="s">
        <v>124</v>
      </c>
      <c r="D255" t="s">
        <v>18</v>
      </c>
      <c r="E255" t="s">
        <v>461</v>
      </c>
      <c r="F255" s="51">
        <v>25.94</v>
      </c>
      <c r="G255" s="51">
        <v>31.78</v>
      </c>
      <c r="H255" s="51">
        <v>33.36</v>
      </c>
      <c r="I255" s="51">
        <v>32.770000000000003</v>
      </c>
      <c r="J255" s="51">
        <v>31.36</v>
      </c>
      <c r="L255" t="str">
        <f>VLOOKUP(B255,TABLE!D:E,2,FALSE)</f>
        <v>BRL</v>
      </c>
      <c r="M255" t="str">
        <f t="shared" si="3"/>
        <v>USD</v>
      </c>
      <c r="N255" s="51">
        <f>VLOOKUP($L255,TABLE!$I$3:$O$13,N$2,FALSE)/VLOOKUP($M255,TABLE!$I$3:$O$13,N$2,FALSE)*F255</f>
        <v>14.897771651734438</v>
      </c>
      <c r="O255" s="51">
        <f>VLOOKUP($L255,TABLE!$I$3:$O$13,O$2,FALSE)/VLOOKUP($M255,TABLE!$I$3:$O$13,O$2,FALSE)*G255</f>
        <v>19.073340535349899</v>
      </c>
      <c r="P255" s="51">
        <f>VLOOKUP($L255,TABLE!$I$3:$O$13,P$2,FALSE)/VLOOKUP($M255,TABLE!$I$3:$O$13,P$2,FALSE)*H255</f>
        <v>17.784411984220068</v>
      </c>
      <c r="Q255" s="51">
        <f>VLOOKUP($L255,TABLE!$I$3:$O$13,Q$2,FALSE)/VLOOKUP($M255,TABLE!$I$3:$O$13,Q$2,FALSE)*I255</f>
        <v>16.036212380719356</v>
      </c>
      <c r="R255" s="51">
        <f>VLOOKUP($L255,TABLE!$I$3:$O$13,R$2,FALSE)/VLOOKUP($M255,TABLE!$I$3:$O$13,R$2,FALSE)*J255</f>
        <v>13.386835140442244</v>
      </c>
    </row>
    <row r="256" spans="2:18">
      <c r="B256" t="s">
        <v>31</v>
      </c>
      <c r="C256" t="s">
        <v>124</v>
      </c>
      <c r="D256" t="s">
        <v>21</v>
      </c>
      <c r="E256" t="s">
        <v>462</v>
      </c>
      <c r="F256" s="51">
        <v>3.04</v>
      </c>
      <c r="G256" s="51">
        <v>3.5</v>
      </c>
      <c r="H256" s="51">
        <v>4.09</v>
      </c>
      <c r="I256" s="51">
        <v>5.4</v>
      </c>
      <c r="J256" s="51">
        <v>5.09</v>
      </c>
      <c r="L256" t="str">
        <f>VLOOKUP(B256,TABLE!D:E,2,FALSE)</f>
        <v>BRL</v>
      </c>
      <c r="M256" t="str">
        <f t="shared" si="3"/>
        <v>USD</v>
      </c>
      <c r="N256" s="51">
        <f>VLOOKUP($L256,TABLE!$I$3:$O$13,N$2,FALSE)/VLOOKUP($M256,TABLE!$I$3:$O$13,N$2,FALSE)*F256</f>
        <v>1.7459223524006433</v>
      </c>
      <c r="O256" s="51">
        <f>VLOOKUP($L256,TABLE!$I$3:$O$13,O$2,FALSE)/VLOOKUP($M256,TABLE!$I$3:$O$13,O$2,FALSE)*G256</f>
        <v>2.1005881646861124</v>
      </c>
      <c r="P256" s="51">
        <f>VLOOKUP($L256,TABLE!$I$3:$O$13,P$2,FALSE)/VLOOKUP($M256,TABLE!$I$3:$O$13,P$2,FALSE)*H256</f>
        <v>2.1804030280413693</v>
      </c>
      <c r="Q256" s="51">
        <f>VLOOKUP($L256,TABLE!$I$3:$O$13,Q$2,FALSE)/VLOOKUP($M256,TABLE!$I$3:$O$13,Q$2,FALSE)*I256</f>
        <v>2.6425250795204307</v>
      </c>
      <c r="R256" s="51">
        <f>VLOOKUP($L256,TABLE!$I$3:$O$13,R$2,FALSE)/VLOOKUP($M256,TABLE!$I$3:$O$13,R$2,FALSE)*J256</f>
        <v>2.1727994535985657</v>
      </c>
    </row>
    <row r="257" spans="2:18">
      <c r="B257" t="s">
        <v>31</v>
      </c>
      <c r="C257" t="s">
        <v>124</v>
      </c>
      <c r="D257" t="s">
        <v>20</v>
      </c>
      <c r="E257" t="s">
        <v>463</v>
      </c>
      <c r="F257" s="51">
        <v>0.81528999999999996</v>
      </c>
      <c r="G257" s="51">
        <v>1.29</v>
      </c>
      <c r="H257" s="51">
        <v>1.46</v>
      </c>
      <c r="I257" s="51">
        <v>2.2799999999999998</v>
      </c>
      <c r="J257" s="51">
        <v>2.42</v>
      </c>
      <c r="L257" t="str">
        <f>VLOOKUP(B257,TABLE!D:E,2,FALSE)</f>
        <v>BRL</v>
      </c>
      <c r="M257" t="str">
        <f t="shared" si="3"/>
        <v>USD</v>
      </c>
      <c r="N257" s="51">
        <f>VLOOKUP($L257,TABLE!$I$3:$O$13,N$2,FALSE)/VLOOKUP($M257,TABLE!$I$3:$O$13,N$2,FALSE)*F257</f>
        <v>0.46823455088444749</v>
      </c>
      <c r="O257" s="51">
        <f>VLOOKUP($L257,TABLE!$I$3:$O$13,O$2,FALSE)/VLOOKUP($M257,TABLE!$I$3:$O$13,O$2,FALSE)*G257</f>
        <v>0.77421678069859567</v>
      </c>
      <c r="P257" s="51">
        <f>VLOOKUP($L257,TABLE!$I$3:$O$13,P$2,FALSE)/VLOOKUP($M257,TABLE!$I$3:$O$13,P$2,FALSE)*H257</f>
        <v>0.77833457724704136</v>
      </c>
      <c r="Q257" s="51">
        <f>VLOOKUP($L257,TABLE!$I$3:$O$13,Q$2,FALSE)/VLOOKUP($M257,TABLE!$I$3:$O$13,Q$2,FALSE)*I257</f>
        <v>1.1157328113530707</v>
      </c>
      <c r="R257" s="51">
        <f>VLOOKUP($L257,TABLE!$I$3:$O$13,R$2,FALSE)/VLOOKUP($M257,TABLE!$I$3:$O$13,R$2,FALSE)*J257</f>
        <v>1.0330402117305557</v>
      </c>
    </row>
    <row r="258" spans="2:18">
      <c r="B258" t="s">
        <v>31</v>
      </c>
      <c r="C258" t="s">
        <v>124</v>
      </c>
      <c r="D258" t="s">
        <v>25</v>
      </c>
      <c r="E258" t="s">
        <v>464</v>
      </c>
      <c r="F258" s="51">
        <v>16</v>
      </c>
      <c r="G258" s="51">
        <v>19.03</v>
      </c>
      <c r="H258" s="51">
        <v>19.010000000000002</v>
      </c>
      <c r="I258" s="51">
        <v>18.510000000000002</v>
      </c>
      <c r="J258" s="51">
        <v>18.829999999999998</v>
      </c>
      <c r="L258" t="str">
        <f>VLOOKUP(B258,TABLE!D:E,2,FALSE)</f>
        <v>BRL</v>
      </c>
      <c r="M258" t="str">
        <f t="shared" si="3"/>
        <v>USD</v>
      </c>
      <c r="N258" s="51">
        <f>VLOOKUP($L258,TABLE!$I$3:$O$13,N$2,FALSE)/VLOOKUP($M258,TABLE!$I$3:$O$13,N$2,FALSE)*F258</f>
        <v>9.1890650126349644</v>
      </c>
      <c r="O258" s="51">
        <f>VLOOKUP($L258,TABLE!$I$3:$O$13,O$2,FALSE)/VLOOKUP($M258,TABLE!$I$3:$O$13,O$2,FALSE)*G258</f>
        <v>11.421197935421921</v>
      </c>
      <c r="P258" s="51">
        <f>VLOOKUP($L258,TABLE!$I$3:$O$13,P$2,FALSE)/VLOOKUP($M258,TABLE!$I$3:$O$13,P$2,FALSE)*H258</f>
        <v>10.13434268045634</v>
      </c>
      <c r="Q258" s="51">
        <f>VLOOKUP($L258,TABLE!$I$3:$O$13,Q$2,FALSE)/VLOOKUP($M258,TABLE!$I$3:$O$13,Q$2,FALSE)*I258</f>
        <v>9.0579887448005891</v>
      </c>
      <c r="R258" s="51">
        <f>VLOOKUP($L258,TABLE!$I$3:$O$13,R$2,FALSE)/VLOOKUP($M258,TABLE!$I$3:$O$13,R$2,FALSE)*J258</f>
        <v>8.038077349953042</v>
      </c>
    </row>
    <row r="259" spans="2:18">
      <c r="B259" t="s">
        <v>31</v>
      </c>
      <c r="C259" t="s">
        <v>124</v>
      </c>
      <c r="D259" t="s">
        <v>30</v>
      </c>
      <c r="E259" t="s">
        <v>465</v>
      </c>
      <c r="F259" s="51">
        <v>10.92</v>
      </c>
      <c r="G259" s="51">
        <v>12.96</v>
      </c>
      <c r="H259" s="51">
        <v>11.9</v>
      </c>
      <c r="I259" s="51">
        <v>12.71</v>
      </c>
      <c r="J259" s="51">
        <v>12.83</v>
      </c>
      <c r="L259" t="str">
        <f>VLOOKUP(B259,TABLE!D:E,2,FALSE)</f>
        <v>BRL</v>
      </c>
      <c r="M259" t="str">
        <f t="shared" si="3"/>
        <v>USD</v>
      </c>
      <c r="N259" s="51">
        <f>VLOOKUP($L259,TABLE!$I$3:$O$13,N$2,FALSE)/VLOOKUP($M259,TABLE!$I$3:$O$13,N$2,FALSE)*F259</f>
        <v>6.271536871123363</v>
      </c>
      <c r="O259" s="51">
        <f>VLOOKUP($L259,TABLE!$I$3:$O$13,O$2,FALSE)/VLOOKUP($M259,TABLE!$I$3:$O$13,O$2,FALSE)*G259</f>
        <v>7.7781778898091476</v>
      </c>
      <c r="P259" s="51">
        <f>VLOOKUP($L259,TABLE!$I$3:$O$13,P$2,FALSE)/VLOOKUP($M259,TABLE!$I$3:$O$13,P$2,FALSE)*H259</f>
        <v>6.3439599104382136</v>
      </c>
      <c r="Q259" s="51">
        <f>VLOOKUP($L259,TABLE!$I$3:$O$13,Q$2,FALSE)/VLOOKUP($M259,TABLE!$I$3:$O$13,Q$2,FALSE)*I259</f>
        <v>6.2197210667971623</v>
      </c>
      <c r="R259" s="51">
        <f>VLOOKUP($L259,TABLE!$I$3:$O$13,R$2,FALSE)/VLOOKUP($M259,TABLE!$I$3:$O$13,R$2,FALSE)*J259</f>
        <v>5.4768206266541446</v>
      </c>
    </row>
    <row r="260" spans="2:18">
      <c r="B260" t="s">
        <v>31</v>
      </c>
      <c r="C260" t="s">
        <v>124</v>
      </c>
      <c r="D260" t="s">
        <v>34</v>
      </c>
      <c r="E260" t="s">
        <v>466</v>
      </c>
      <c r="F260" s="51">
        <v>1.45</v>
      </c>
      <c r="G260" s="51">
        <v>2.5</v>
      </c>
      <c r="H260" s="51">
        <v>1.27</v>
      </c>
      <c r="I260" s="51">
        <v>0.45402999999999999</v>
      </c>
      <c r="J260" s="51">
        <v>1.43</v>
      </c>
      <c r="L260" t="str">
        <f>VLOOKUP(B260,TABLE!D:E,2,FALSE)</f>
        <v>BRL</v>
      </c>
      <c r="M260" t="str">
        <f t="shared" si="3"/>
        <v>USD</v>
      </c>
      <c r="N260" s="51">
        <f>VLOOKUP($L260,TABLE!$I$3:$O$13,N$2,FALSE)/VLOOKUP($M260,TABLE!$I$3:$O$13,N$2,FALSE)*F260</f>
        <v>0.8327590167700436</v>
      </c>
      <c r="O260" s="51">
        <f>VLOOKUP($L260,TABLE!$I$3:$O$13,O$2,FALSE)/VLOOKUP($M260,TABLE!$I$3:$O$13,O$2,FALSE)*G260</f>
        <v>1.5004201176329373</v>
      </c>
      <c r="P260" s="51">
        <f>VLOOKUP($L260,TABLE!$I$3:$O$13,P$2,FALSE)/VLOOKUP($M260,TABLE!$I$3:$O$13,P$2,FALSE)*H260</f>
        <v>0.67704446102996063</v>
      </c>
      <c r="Q260" s="51">
        <f>VLOOKUP($L260,TABLE!$I$3:$O$13,Q$2,FALSE)/VLOOKUP($M260,TABLE!$I$3:$O$13,Q$2,FALSE)*I260</f>
        <v>0.22218252997308541</v>
      </c>
      <c r="R260" s="51">
        <f>VLOOKUP($L260,TABLE!$I$3:$O$13,R$2,FALSE)/VLOOKUP($M260,TABLE!$I$3:$O$13,R$2,FALSE)*J260</f>
        <v>0.61043285238623746</v>
      </c>
    </row>
    <row r="261" spans="2:18">
      <c r="B261" t="s">
        <v>31</v>
      </c>
      <c r="C261" t="s">
        <v>124</v>
      </c>
      <c r="D261" t="s">
        <v>48</v>
      </c>
      <c r="E261" t="s">
        <v>467</v>
      </c>
      <c r="F261" s="51">
        <v>1.27</v>
      </c>
      <c r="G261" s="51">
        <v>1.39</v>
      </c>
      <c r="H261" s="51">
        <v>0.35799999999999998</v>
      </c>
      <c r="I261" s="51">
        <v>-0.70655999999999997</v>
      </c>
      <c r="J261" s="51">
        <v>-0.14168</v>
      </c>
      <c r="L261" t="str">
        <f>VLOOKUP(B261,TABLE!D:E,2,FALSE)</f>
        <v>BRL</v>
      </c>
      <c r="M261" t="str">
        <f t="shared" ref="M261:M324" si="4">IF(M$1="LC",L261,M$1)</f>
        <v>USD</v>
      </c>
      <c r="N261" s="51">
        <f>VLOOKUP($L261,TABLE!$I$3:$O$13,N$2,FALSE)/VLOOKUP($M261,TABLE!$I$3:$O$13,N$2,FALSE)*F261</f>
        <v>0.72938203537790036</v>
      </c>
      <c r="O261" s="51">
        <f>VLOOKUP($L261,TABLE!$I$3:$O$13,O$2,FALSE)/VLOOKUP($M261,TABLE!$I$3:$O$13,O$2,FALSE)*G261</f>
        <v>0.83423358540391312</v>
      </c>
      <c r="P261" s="51">
        <f>VLOOKUP($L261,TABLE!$I$3:$O$13,P$2,FALSE)/VLOOKUP($M261,TABLE!$I$3:$O$13,P$2,FALSE)*H261</f>
        <v>0.19085190318797315</v>
      </c>
      <c r="Q261" s="51">
        <f>VLOOKUP($L261,TABLE!$I$3:$O$13,Q$2,FALSE)/VLOOKUP($M261,TABLE!$I$3:$O$13,Q$2,FALSE)*I261</f>
        <v>-0.34575972596036214</v>
      </c>
      <c r="R261" s="51">
        <f>VLOOKUP($L261,TABLE!$I$3:$O$13,R$2,FALSE)/VLOOKUP($M261,TABLE!$I$3:$O$13,R$2,FALSE)*J261</f>
        <v>-6.0479808759497995E-2</v>
      </c>
    </row>
    <row r="262" spans="2:18">
      <c r="B262" t="s">
        <v>31</v>
      </c>
      <c r="C262" t="s">
        <v>124</v>
      </c>
      <c r="D262" t="s">
        <v>50</v>
      </c>
      <c r="E262" t="s">
        <v>468</v>
      </c>
      <c r="F262" s="51">
        <v>1.58</v>
      </c>
      <c r="G262" s="51">
        <v>2.27</v>
      </c>
      <c r="H262" s="51">
        <v>1.31</v>
      </c>
      <c r="I262" s="51">
        <v>0.24802000000000002</v>
      </c>
      <c r="J262" s="51">
        <v>1.46</v>
      </c>
      <c r="L262" t="str">
        <f>VLOOKUP(B262,TABLE!D:E,2,FALSE)</f>
        <v>BRL</v>
      </c>
      <c r="M262" t="str">
        <f t="shared" si="4"/>
        <v>USD</v>
      </c>
      <c r="N262" s="51">
        <f>VLOOKUP($L262,TABLE!$I$3:$O$13,N$2,FALSE)/VLOOKUP($M262,TABLE!$I$3:$O$13,N$2,FALSE)*F262</f>
        <v>0.90742016999770281</v>
      </c>
      <c r="O262" s="51">
        <f>VLOOKUP($L262,TABLE!$I$3:$O$13,O$2,FALSE)/VLOOKUP($M262,TABLE!$I$3:$O$13,O$2,FALSE)*G262</f>
        <v>1.362381466810707</v>
      </c>
      <c r="P262" s="51">
        <f>VLOOKUP($L262,TABLE!$I$3:$O$13,P$2,FALSE)/VLOOKUP($M262,TABLE!$I$3:$O$13,P$2,FALSE)*H262</f>
        <v>0.69836869602303031</v>
      </c>
      <c r="Q262" s="51">
        <f>VLOOKUP($L262,TABLE!$I$3:$O$13,Q$2,FALSE)/VLOOKUP($M262,TABLE!$I$3:$O$13,Q$2,FALSE)*I262</f>
        <v>0.12137019818938098</v>
      </c>
      <c r="R262" s="51">
        <f>VLOOKUP($L262,TABLE!$I$3:$O$13,R$2,FALSE)/VLOOKUP($M262,TABLE!$I$3:$O$13,R$2,FALSE)*J262</f>
        <v>0.62323913600273195</v>
      </c>
    </row>
    <row r="263" spans="2:18">
      <c r="B263" t="s">
        <v>31</v>
      </c>
      <c r="C263" t="s">
        <v>124</v>
      </c>
      <c r="D263" t="s">
        <v>44</v>
      </c>
      <c r="E263" t="s">
        <v>469</v>
      </c>
      <c r="F263" s="51">
        <v>0.38200000000000001</v>
      </c>
      <c r="G263" s="51">
        <v>0.31785000000000002</v>
      </c>
      <c r="H263" s="51">
        <v>0.35558000000000001</v>
      </c>
      <c r="I263" s="51">
        <v>0.24612000000000001</v>
      </c>
      <c r="J263" s="51">
        <v>0.23716999999999999</v>
      </c>
      <c r="L263" t="str">
        <f>VLOOKUP(B263,TABLE!D:E,2,FALSE)</f>
        <v>BRL</v>
      </c>
      <c r="M263" t="str">
        <f t="shared" si="4"/>
        <v>USD</v>
      </c>
      <c r="N263" s="51">
        <f>VLOOKUP($L263,TABLE!$I$3:$O$13,N$2,FALSE)/VLOOKUP($M263,TABLE!$I$3:$O$13,N$2,FALSE)*F263</f>
        <v>0.21938892717665978</v>
      </c>
      <c r="O263" s="51">
        <f>VLOOKUP($L263,TABLE!$I$3:$O$13,O$2,FALSE)/VLOOKUP($M263,TABLE!$I$3:$O$13,O$2,FALSE)*G263</f>
        <v>0.19076341375585168</v>
      </c>
      <c r="P263" s="51">
        <f>VLOOKUP($L263,TABLE!$I$3:$O$13,P$2,FALSE)/VLOOKUP($M263,TABLE!$I$3:$O$13,P$2,FALSE)*H263</f>
        <v>0.18956178697089246</v>
      </c>
      <c r="Q263" s="51">
        <f>VLOOKUP($L263,TABLE!$I$3:$O$13,Q$2,FALSE)/VLOOKUP($M263,TABLE!$I$3:$O$13,Q$2,FALSE)*I263</f>
        <v>0.12044042084658674</v>
      </c>
      <c r="R263" s="51">
        <f>VLOOKUP($L263,TABLE!$I$3:$O$13,R$2,FALSE)/VLOOKUP($M263,TABLE!$I$3:$O$13,R$2,FALSE)*J263</f>
        <v>0.10124220951079996</v>
      </c>
    </row>
    <row r="264" spans="2:18">
      <c r="B264" t="s">
        <v>31</v>
      </c>
      <c r="C264" t="s">
        <v>124</v>
      </c>
      <c r="D264" t="s">
        <v>42</v>
      </c>
      <c r="E264" t="s">
        <v>470</v>
      </c>
      <c r="F264" s="51">
        <v>3.8799999999999994E-2</v>
      </c>
      <c r="G264" s="51">
        <v>3.7780000000000001E-2</v>
      </c>
      <c r="H264" s="51">
        <v>1.583E-2</v>
      </c>
      <c r="I264" s="51">
        <v>2.8340000000000001E-2</v>
      </c>
      <c r="J264" s="51">
        <v>1.3949999999999999E-2</v>
      </c>
      <c r="L264" t="str">
        <f>VLOOKUP(B264,TABLE!D:E,2,FALSE)</f>
        <v>BRL</v>
      </c>
      <c r="M264" t="str">
        <f t="shared" si="4"/>
        <v>USD</v>
      </c>
      <c r="N264" s="51">
        <f>VLOOKUP($L264,TABLE!$I$3:$O$13,N$2,FALSE)/VLOOKUP($M264,TABLE!$I$3:$O$13,N$2,FALSE)*F264</f>
        <v>2.2283482655639786E-2</v>
      </c>
      <c r="O264" s="51">
        <f>VLOOKUP($L264,TABLE!$I$3:$O$13,O$2,FALSE)/VLOOKUP($M264,TABLE!$I$3:$O$13,O$2,FALSE)*G264</f>
        <v>2.267434881766895E-2</v>
      </c>
      <c r="P264" s="51">
        <f>VLOOKUP($L264,TABLE!$I$3:$O$13,P$2,FALSE)/VLOOKUP($M264,TABLE!$I$3:$O$13,P$2,FALSE)*H264</f>
        <v>8.4390659985073054E-3</v>
      </c>
      <c r="Q264" s="51">
        <f>VLOOKUP($L264,TABLE!$I$3:$O$13,Q$2,FALSE)/VLOOKUP($M264,TABLE!$I$3:$O$13,Q$2,FALSE)*I264</f>
        <v>1.3868363102520187E-2</v>
      </c>
      <c r="R264" s="51">
        <f>VLOOKUP($L264,TABLE!$I$3:$O$13,R$2,FALSE)/VLOOKUP($M264,TABLE!$I$3:$O$13,R$2,FALSE)*J264</f>
        <v>5.9549218816699386E-3</v>
      </c>
    </row>
    <row r="265" spans="2:18">
      <c r="B265" t="s">
        <v>31</v>
      </c>
      <c r="C265" t="s">
        <v>124</v>
      </c>
      <c r="D265" t="s">
        <v>145</v>
      </c>
      <c r="E265" t="s">
        <v>471</v>
      </c>
      <c r="F265" s="51"/>
      <c r="G265" s="51"/>
      <c r="H265" s="51"/>
      <c r="I265" s="51"/>
      <c r="J265" s="51"/>
      <c r="L265" t="str">
        <f>VLOOKUP(B265,TABLE!D:E,2,FALSE)</f>
        <v>BRL</v>
      </c>
      <c r="M265" t="str">
        <f t="shared" si="4"/>
        <v>USD</v>
      </c>
      <c r="N265" s="51">
        <f>VLOOKUP($L265,TABLE!$I$3:$O$13,N$2,FALSE)/VLOOKUP($M265,TABLE!$I$3:$O$13,N$2,FALSE)*F265</f>
        <v>0</v>
      </c>
      <c r="O265" s="51">
        <f>VLOOKUP($L265,TABLE!$I$3:$O$13,O$2,FALSE)/VLOOKUP($M265,TABLE!$I$3:$O$13,O$2,FALSE)*G265</f>
        <v>0</v>
      </c>
      <c r="P265" s="51">
        <f>VLOOKUP($L265,TABLE!$I$3:$O$13,P$2,FALSE)/VLOOKUP($M265,TABLE!$I$3:$O$13,P$2,FALSE)*H265</f>
        <v>0</v>
      </c>
      <c r="Q265" s="51">
        <f>VLOOKUP($L265,TABLE!$I$3:$O$13,Q$2,FALSE)/VLOOKUP($M265,TABLE!$I$3:$O$13,Q$2,FALSE)*I265</f>
        <v>0</v>
      </c>
      <c r="R265" s="51">
        <f>VLOOKUP($L265,TABLE!$I$3:$O$13,R$2,FALSE)/VLOOKUP($M265,TABLE!$I$3:$O$13,R$2,FALSE)*J265</f>
        <v>0</v>
      </c>
    </row>
    <row r="266" spans="2:18">
      <c r="B266" t="s">
        <v>31</v>
      </c>
      <c r="C266" t="s">
        <v>124</v>
      </c>
      <c r="D266" t="s">
        <v>36</v>
      </c>
      <c r="E266" t="s">
        <v>472</v>
      </c>
      <c r="F266" s="51">
        <v>0.73639999999999994</v>
      </c>
      <c r="G266" s="51">
        <v>0.91492999999999991</v>
      </c>
      <c r="H266" s="51">
        <v>0.98229</v>
      </c>
      <c r="I266" s="51">
        <v>0.95630999999999999</v>
      </c>
      <c r="J266" s="51">
        <v>0.84017999999999993</v>
      </c>
      <c r="L266" t="str">
        <f>VLOOKUP(B266,TABLE!D:E,2,FALSE)</f>
        <v>BRL</v>
      </c>
      <c r="M266" t="str">
        <f t="shared" si="4"/>
        <v>USD</v>
      </c>
      <c r="N266" s="51">
        <f>VLOOKUP($L266,TABLE!$I$3:$O$13,N$2,FALSE)/VLOOKUP($M266,TABLE!$I$3:$O$13,N$2,FALSE)*F266</f>
        <v>0.42292671720652419</v>
      </c>
      <c r="O266" s="51">
        <f>VLOOKUP($L266,TABLE!$I$3:$O$13,O$2,FALSE)/VLOOKUP($M266,TABLE!$I$3:$O$13,O$2,FALSE)*G266</f>
        <v>0.54911175129036127</v>
      </c>
      <c r="P266" s="51">
        <f>VLOOKUP($L266,TABLE!$I$3:$O$13,P$2,FALSE)/VLOOKUP($M266,TABLE!$I$3:$O$13,P$2,FALSE)*H266</f>
        <v>0.52366456978355913</v>
      </c>
      <c r="Q266" s="51">
        <f>VLOOKUP($L266,TABLE!$I$3:$O$13,Q$2,FALSE)/VLOOKUP($M266,TABLE!$I$3:$O$13,Q$2,FALSE)*I266</f>
        <v>0.46797651088818204</v>
      </c>
      <c r="R266" s="51">
        <f>VLOOKUP($L266,TABLE!$I$3:$O$13,R$2,FALSE)/VLOOKUP($M266,TABLE!$I$3:$O$13,R$2,FALSE)*J266</f>
        <v>0.35865277896354475</v>
      </c>
    </row>
    <row r="267" spans="2:18">
      <c r="B267" t="s">
        <v>31</v>
      </c>
      <c r="C267" t="s">
        <v>124</v>
      </c>
      <c r="D267" t="s">
        <v>38</v>
      </c>
      <c r="E267" t="s">
        <v>473</v>
      </c>
      <c r="F267" s="51">
        <v>2.938E-2</v>
      </c>
      <c r="G267" s="51">
        <v>4.0670000000000005E-2</v>
      </c>
      <c r="H267" s="51">
        <v>3.7499999999999999E-2</v>
      </c>
      <c r="I267" s="51">
        <v>3.3710000000000004E-2</v>
      </c>
      <c r="J267" s="51">
        <v>3.056E-2</v>
      </c>
      <c r="L267" t="str">
        <f>VLOOKUP(B267,TABLE!D:E,2,FALSE)</f>
        <v>BRL</v>
      </c>
      <c r="M267" t="str">
        <f t="shared" si="4"/>
        <v>USD</v>
      </c>
      <c r="N267" s="51">
        <f>VLOOKUP($L267,TABLE!$I$3:$O$13,N$2,FALSE)/VLOOKUP($M267,TABLE!$I$3:$O$13,N$2,FALSE)*F267</f>
        <v>1.6873420629450953E-2</v>
      </c>
      <c r="O267" s="51">
        <f>VLOOKUP($L267,TABLE!$I$3:$O$13,O$2,FALSE)/VLOOKUP($M267,TABLE!$I$3:$O$13,O$2,FALSE)*G267</f>
        <v>2.4408834473652628E-2</v>
      </c>
      <c r="P267" s="51">
        <f>VLOOKUP($L267,TABLE!$I$3:$O$13,P$2,FALSE)/VLOOKUP($M267,TABLE!$I$3:$O$13,P$2,FALSE)*H267</f>
        <v>1.9991470306002773E-2</v>
      </c>
      <c r="Q267" s="51">
        <f>VLOOKUP($L267,TABLE!$I$3:$O$13,Q$2,FALSE)/VLOOKUP($M267,TABLE!$I$3:$O$13,Q$2,FALSE)*I267</f>
        <v>1.6496207487154396E-2</v>
      </c>
      <c r="R267" s="51">
        <f>VLOOKUP($L267,TABLE!$I$3:$O$13,R$2,FALSE)/VLOOKUP($M267,TABLE!$I$3:$O$13,R$2,FALSE)*J267</f>
        <v>1.304533424400239E-2</v>
      </c>
    </row>
    <row r="268" spans="2:18">
      <c r="B268" t="s">
        <v>31</v>
      </c>
      <c r="C268" t="s">
        <v>124</v>
      </c>
      <c r="D268" t="s">
        <v>40</v>
      </c>
      <c r="E268" t="s">
        <v>474</v>
      </c>
      <c r="F268" s="51">
        <v>0.70702999999999994</v>
      </c>
      <c r="G268" s="51">
        <v>0.87426000000000004</v>
      </c>
      <c r="H268" s="51">
        <v>0.94479000000000002</v>
      </c>
      <c r="I268" s="51">
        <v>0.92261000000000004</v>
      </c>
      <c r="J268" s="51">
        <v>0.80962000000000001</v>
      </c>
      <c r="L268" t="str">
        <f>VLOOKUP(B268,TABLE!D:E,2,FALSE)</f>
        <v>BRL</v>
      </c>
      <c r="M268" t="str">
        <f t="shared" si="4"/>
        <v>USD</v>
      </c>
      <c r="N268" s="51">
        <f>VLOOKUP($L268,TABLE!$I$3:$O$13,N$2,FALSE)/VLOOKUP($M268,TABLE!$I$3:$O$13,N$2,FALSE)*F268</f>
        <v>0.40605903974270613</v>
      </c>
      <c r="O268" s="51">
        <f>VLOOKUP($L268,TABLE!$I$3:$O$13,O$2,FALSE)/VLOOKUP($M268,TABLE!$I$3:$O$13,O$2,FALSE)*G268</f>
        <v>0.52470291681670878</v>
      </c>
      <c r="P268" s="51">
        <f>VLOOKUP($L268,TABLE!$I$3:$O$13,P$2,FALSE)/VLOOKUP($M268,TABLE!$I$3:$O$13,P$2,FALSE)*H268</f>
        <v>0.50367309947755634</v>
      </c>
      <c r="Q268" s="51">
        <f>VLOOKUP($L268,TABLE!$I$3:$O$13,Q$2,FALSE)/VLOOKUP($M268,TABLE!$I$3:$O$13,Q$2,FALSE)*I268</f>
        <v>0.45148519696598977</v>
      </c>
      <c r="R268" s="51">
        <f>VLOOKUP($L268,TABLE!$I$3:$O$13,R$2,FALSE)/VLOOKUP($M268,TABLE!$I$3:$O$13,R$2,FALSE)*J268</f>
        <v>0.34560744471954241</v>
      </c>
    </row>
    <row r="269" spans="2:18">
      <c r="B269" t="s">
        <v>31</v>
      </c>
      <c r="C269" t="s">
        <v>124</v>
      </c>
      <c r="D269" t="s">
        <v>46</v>
      </c>
      <c r="E269" t="s">
        <v>475</v>
      </c>
      <c r="F269" s="51">
        <v>1.62</v>
      </c>
      <c r="G269" s="51">
        <v>1.92</v>
      </c>
      <c r="H269" s="51">
        <v>0.57584000000000002</v>
      </c>
      <c r="I269" s="51">
        <v>-0.96436999999999995</v>
      </c>
      <c r="J269" s="51">
        <v>-0.37552999999999997</v>
      </c>
      <c r="L269" t="str">
        <f>VLOOKUP(B269,TABLE!D:E,2,FALSE)</f>
        <v>BRL</v>
      </c>
      <c r="M269" t="str">
        <f t="shared" si="4"/>
        <v>USD</v>
      </c>
      <c r="N269" s="51">
        <f>VLOOKUP($L269,TABLE!$I$3:$O$13,N$2,FALSE)/VLOOKUP($M269,TABLE!$I$3:$O$13,N$2,FALSE)*F269</f>
        <v>0.93039283252929017</v>
      </c>
      <c r="O269" s="51">
        <f>VLOOKUP($L269,TABLE!$I$3:$O$13,O$2,FALSE)/VLOOKUP($M269,TABLE!$I$3:$O$13,O$2,FALSE)*G269</f>
        <v>1.1523226503420958</v>
      </c>
      <c r="P269" s="51">
        <f>VLOOKUP($L269,TABLE!$I$3:$O$13,P$2,FALSE)/VLOOKUP($M269,TABLE!$I$3:$O$13,P$2,FALSE)*H269</f>
        <v>0.30698368696023037</v>
      </c>
      <c r="Q269" s="51">
        <f>VLOOKUP($L269,TABLE!$I$3:$O$13,Q$2,FALSE)/VLOOKUP($M269,TABLE!$I$3:$O$13,Q$2,FALSE)*I269</f>
        <v>-0.47192072424761439</v>
      </c>
      <c r="R269" s="51">
        <f>VLOOKUP($L269,TABLE!$I$3:$O$13,R$2,FALSE)/VLOOKUP($M269,TABLE!$I$3:$O$13,R$2,FALSE)*J269</f>
        <v>-0.16030478955007255</v>
      </c>
    </row>
    <row r="270" spans="2:18">
      <c r="B270" t="s">
        <v>33</v>
      </c>
      <c r="C270" t="s">
        <v>124</v>
      </c>
      <c r="D270" t="s">
        <v>9</v>
      </c>
      <c r="E270" t="s">
        <v>476</v>
      </c>
      <c r="F270" s="51">
        <v>8.09</v>
      </c>
      <c r="G270" s="51">
        <v>10.49</v>
      </c>
      <c r="H270" s="51">
        <v>15.88</v>
      </c>
      <c r="I270" s="51">
        <v>15.12</v>
      </c>
      <c r="J270" s="51">
        <v>10</v>
      </c>
      <c r="L270" t="str">
        <f>VLOOKUP(B270,TABLE!D:E,2,FALSE)</f>
        <v>BRL</v>
      </c>
      <c r="M270" t="str">
        <f t="shared" si="4"/>
        <v>USD</v>
      </c>
      <c r="N270" s="51">
        <f>VLOOKUP($L270,TABLE!$I$3:$O$13,N$2,FALSE)/VLOOKUP($M270,TABLE!$I$3:$O$13,N$2,FALSE)*F270</f>
        <v>4.646220997013554</v>
      </c>
      <c r="O270" s="51">
        <f>VLOOKUP($L270,TABLE!$I$3:$O$13,O$2,FALSE)/VLOOKUP($M270,TABLE!$I$3:$O$13,O$2,FALSE)*G270</f>
        <v>6.295762813587805</v>
      </c>
      <c r="P270" s="51">
        <f>VLOOKUP($L270,TABLE!$I$3:$O$13,P$2,FALSE)/VLOOKUP($M270,TABLE!$I$3:$O$13,P$2,FALSE)*H270</f>
        <v>8.4657212922486416</v>
      </c>
      <c r="Q270" s="51">
        <f>VLOOKUP($L270,TABLE!$I$3:$O$13,Q$2,FALSE)/VLOOKUP($M270,TABLE!$I$3:$O$13,Q$2,FALSE)*I270</f>
        <v>7.3990702226572056</v>
      </c>
      <c r="R270" s="51">
        <f>VLOOKUP($L270,TABLE!$I$3:$O$13,R$2,FALSE)/VLOOKUP($M270,TABLE!$I$3:$O$13,R$2,FALSE)*J270</f>
        <v>4.2687612054981647</v>
      </c>
    </row>
    <row r="271" spans="2:18">
      <c r="B271" t="s">
        <v>33</v>
      </c>
      <c r="C271" t="s">
        <v>124</v>
      </c>
      <c r="D271" t="s">
        <v>11</v>
      </c>
      <c r="E271" t="s">
        <v>477</v>
      </c>
      <c r="F271" s="51">
        <v>1.19</v>
      </c>
      <c r="G271" s="51">
        <v>1.26</v>
      </c>
      <c r="H271" s="51">
        <v>1.56</v>
      </c>
      <c r="I271" s="51">
        <v>1.72</v>
      </c>
      <c r="J271" s="51">
        <v>0</v>
      </c>
      <c r="L271" t="str">
        <f>VLOOKUP(B271,TABLE!D:E,2,FALSE)</f>
        <v>BRL</v>
      </c>
      <c r="M271" t="str">
        <f t="shared" si="4"/>
        <v>USD</v>
      </c>
      <c r="N271" s="51">
        <f>VLOOKUP($L271,TABLE!$I$3:$O$13,N$2,FALSE)/VLOOKUP($M271,TABLE!$I$3:$O$13,N$2,FALSE)*F271</f>
        <v>0.68343671031472542</v>
      </c>
      <c r="O271" s="51">
        <f>VLOOKUP($L271,TABLE!$I$3:$O$13,O$2,FALSE)/VLOOKUP($M271,TABLE!$I$3:$O$13,O$2,FALSE)*G271</f>
        <v>0.75621173928700047</v>
      </c>
      <c r="P271" s="51">
        <f>VLOOKUP($L271,TABLE!$I$3:$O$13,P$2,FALSE)/VLOOKUP($M271,TABLE!$I$3:$O$13,P$2,FALSE)*H271</f>
        <v>0.8316451647297155</v>
      </c>
      <c r="Q271" s="51">
        <f>VLOOKUP($L271,TABLE!$I$3:$O$13,Q$2,FALSE)/VLOOKUP($M271,TABLE!$I$3:$O$13,Q$2,FALSE)*I271</f>
        <v>0.84169317347687789</v>
      </c>
      <c r="R271" s="51">
        <f>VLOOKUP($L271,TABLE!$I$3:$O$13,R$2,FALSE)/VLOOKUP($M271,TABLE!$I$3:$O$13,R$2,FALSE)*J271</f>
        <v>0</v>
      </c>
    </row>
    <row r="272" spans="2:18">
      <c r="B272" t="s">
        <v>33</v>
      </c>
      <c r="C272" t="s">
        <v>124</v>
      </c>
      <c r="D272" t="s">
        <v>13</v>
      </c>
      <c r="E272" t="s">
        <v>478</v>
      </c>
      <c r="F272" s="51">
        <v>2.61</v>
      </c>
      <c r="G272" s="51">
        <v>3.36</v>
      </c>
      <c r="H272" s="51">
        <v>3.73</v>
      </c>
      <c r="I272" s="51">
        <v>3.58</v>
      </c>
      <c r="J272" s="51">
        <v>3.16</v>
      </c>
      <c r="L272" t="str">
        <f>VLOOKUP(B272,TABLE!D:E,2,FALSE)</f>
        <v>BRL</v>
      </c>
      <c r="M272" t="str">
        <f t="shared" si="4"/>
        <v>USD</v>
      </c>
      <c r="N272" s="51">
        <f>VLOOKUP($L272,TABLE!$I$3:$O$13,N$2,FALSE)/VLOOKUP($M272,TABLE!$I$3:$O$13,N$2,FALSE)*F272</f>
        <v>1.4989662301860784</v>
      </c>
      <c r="O272" s="51">
        <f>VLOOKUP($L272,TABLE!$I$3:$O$13,O$2,FALSE)/VLOOKUP($M272,TABLE!$I$3:$O$13,O$2,FALSE)*G272</f>
        <v>2.0165646380986679</v>
      </c>
      <c r="P272" s="51">
        <f>VLOOKUP($L272,TABLE!$I$3:$O$13,P$2,FALSE)/VLOOKUP($M272,TABLE!$I$3:$O$13,P$2,FALSE)*H272</f>
        <v>1.9884849131037425</v>
      </c>
      <c r="Q272" s="51">
        <f>VLOOKUP($L272,TABLE!$I$3:$O$13,Q$2,FALSE)/VLOOKUP($M272,TABLE!$I$3:$O$13,Q$2,FALSE)*I272</f>
        <v>1.751896256422804</v>
      </c>
      <c r="R272" s="51">
        <f>VLOOKUP($L272,TABLE!$I$3:$O$13,R$2,FALSE)/VLOOKUP($M272,TABLE!$I$3:$O$13,R$2,FALSE)*J272</f>
        <v>1.3489285409374201</v>
      </c>
    </row>
    <row r="273" spans="2:18">
      <c r="B273" t="s">
        <v>33</v>
      </c>
      <c r="C273" t="s">
        <v>124</v>
      </c>
      <c r="D273" t="s">
        <v>15</v>
      </c>
      <c r="E273" t="s">
        <v>479</v>
      </c>
      <c r="F273" s="51">
        <v>12.84</v>
      </c>
      <c r="G273" s="51">
        <v>15.79</v>
      </c>
      <c r="H273" s="51">
        <v>21.94</v>
      </c>
      <c r="I273" s="51">
        <v>21.12</v>
      </c>
      <c r="J273" s="51">
        <v>16.399999999999999</v>
      </c>
      <c r="L273" t="str">
        <f>VLOOKUP(B273,TABLE!D:E,2,FALSE)</f>
        <v>BRL</v>
      </c>
      <c r="M273" t="str">
        <f t="shared" si="4"/>
        <v>USD</v>
      </c>
      <c r="N273" s="51">
        <f>VLOOKUP($L273,TABLE!$I$3:$O$13,N$2,FALSE)/VLOOKUP($M273,TABLE!$I$3:$O$13,N$2,FALSE)*F273</f>
        <v>7.3742246726395591</v>
      </c>
      <c r="O273" s="51">
        <f>VLOOKUP($L273,TABLE!$I$3:$O$13,O$2,FALSE)/VLOOKUP($M273,TABLE!$I$3:$O$13,O$2,FALSE)*G273</f>
        <v>9.4766534629696313</v>
      </c>
      <c r="P273" s="51">
        <f>VLOOKUP($L273,TABLE!$I$3:$O$13,P$2,FALSE)/VLOOKUP($M273,TABLE!$I$3:$O$13,P$2,FALSE)*H273</f>
        <v>11.696342893698692</v>
      </c>
      <c r="Q273" s="51">
        <f>VLOOKUP($L273,TABLE!$I$3:$O$13,Q$2,FALSE)/VLOOKUP($M273,TABLE!$I$3:$O$13,Q$2,FALSE)*I273</f>
        <v>10.335209199902129</v>
      </c>
      <c r="R273" s="51">
        <f>VLOOKUP($L273,TABLE!$I$3:$O$13,R$2,FALSE)/VLOOKUP($M273,TABLE!$I$3:$O$13,R$2,FALSE)*J273</f>
        <v>7.0007683770169891</v>
      </c>
    </row>
    <row r="274" spans="2:18">
      <c r="B274" t="s">
        <v>33</v>
      </c>
      <c r="C274" t="s">
        <v>124</v>
      </c>
      <c r="D274" t="s">
        <v>18</v>
      </c>
      <c r="E274" t="s">
        <v>480</v>
      </c>
      <c r="F274" s="51">
        <v>30.73</v>
      </c>
      <c r="G274" s="51">
        <v>38.06</v>
      </c>
      <c r="H274" s="51">
        <v>46.87</v>
      </c>
      <c r="I274" s="51">
        <v>49.3</v>
      </c>
      <c r="J274" s="51">
        <v>50.4</v>
      </c>
      <c r="L274" t="str">
        <f>VLOOKUP(B274,TABLE!D:E,2,FALSE)</f>
        <v>BRL</v>
      </c>
      <c r="M274" t="str">
        <f t="shared" si="4"/>
        <v>USD</v>
      </c>
      <c r="N274" s="51">
        <f>VLOOKUP($L274,TABLE!$I$3:$O$13,N$2,FALSE)/VLOOKUP($M274,TABLE!$I$3:$O$13,N$2,FALSE)*F274</f>
        <v>17.64874798989203</v>
      </c>
      <c r="O274" s="51">
        <f>VLOOKUP($L274,TABLE!$I$3:$O$13,O$2,FALSE)/VLOOKUP($M274,TABLE!$I$3:$O$13,O$2,FALSE)*G274</f>
        <v>22.842395870843841</v>
      </c>
      <c r="P274" s="51">
        <f>VLOOKUP($L274,TABLE!$I$3:$O$13,P$2,FALSE)/VLOOKUP($M274,TABLE!$I$3:$O$13,P$2,FALSE)*H274</f>
        <v>24.986672353129332</v>
      </c>
      <c r="Q274" s="51">
        <f>VLOOKUP($L274,TABLE!$I$3:$O$13,Q$2,FALSE)/VLOOKUP($M274,TABLE!$I$3:$O$13,Q$2,FALSE)*I274</f>
        <v>24.125275263029117</v>
      </c>
      <c r="R274" s="51">
        <f>VLOOKUP($L274,TABLE!$I$3:$O$13,R$2,FALSE)/VLOOKUP($M274,TABLE!$I$3:$O$13,R$2,FALSE)*J274</f>
        <v>21.514556475710748</v>
      </c>
    </row>
    <row r="275" spans="2:18">
      <c r="B275" t="s">
        <v>33</v>
      </c>
      <c r="C275" t="s">
        <v>124</v>
      </c>
      <c r="D275" t="s">
        <v>21</v>
      </c>
      <c r="E275" t="s">
        <v>481</v>
      </c>
      <c r="F275" s="51">
        <v>4</v>
      </c>
      <c r="G275" s="51">
        <v>4.46</v>
      </c>
      <c r="H275" s="51">
        <v>6.5</v>
      </c>
      <c r="I275" s="51">
        <v>6.41</v>
      </c>
      <c r="J275" s="51">
        <v>5.56</v>
      </c>
      <c r="L275" t="str">
        <f>VLOOKUP(B275,TABLE!D:E,2,FALSE)</f>
        <v>BRL</v>
      </c>
      <c r="M275" t="str">
        <f t="shared" si="4"/>
        <v>USD</v>
      </c>
      <c r="N275" s="51">
        <f>VLOOKUP($L275,TABLE!$I$3:$O$13,N$2,FALSE)/VLOOKUP($M275,TABLE!$I$3:$O$13,N$2,FALSE)*F275</f>
        <v>2.2972662531587411</v>
      </c>
      <c r="O275" s="51">
        <f>VLOOKUP($L275,TABLE!$I$3:$O$13,O$2,FALSE)/VLOOKUP($M275,TABLE!$I$3:$O$13,O$2,FALSE)*G275</f>
        <v>2.6767494898571602</v>
      </c>
      <c r="P275" s="51">
        <f>VLOOKUP($L275,TABLE!$I$3:$O$13,P$2,FALSE)/VLOOKUP($M275,TABLE!$I$3:$O$13,P$2,FALSE)*H275</f>
        <v>3.4651881863738141</v>
      </c>
      <c r="Q275" s="51">
        <f>VLOOKUP($L275,TABLE!$I$3:$O$13,Q$2,FALSE)/VLOOKUP($M275,TABLE!$I$3:$O$13,Q$2,FALSE)*I275</f>
        <v>3.1367751406899926</v>
      </c>
      <c r="R275" s="51">
        <f>VLOOKUP($L275,TABLE!$I$3:$O$13,R$2,FALSE)/VLOOKUP($M275,TABLE!$I$3:$O$13,R$2,FALSE)*J275</f>
        <v>2.3734312302569793</v>
      </c>
    </row>
    <row r="276" spans="2:18">
      <c r="B276" t="s">
        <v>33</v>
      </c>
      <c r="C276" t="s">
        <v>124</v>
      </c>
      <c r="D276" t="s">
        <v>20</v>
      </c>
      <c r="E276" t="s">
        <v>482</v>
      </c>
      <c r="F276" s="51">
        <v>0.50422</v>
      </c>
      <c r="G276" s="51">
        <v>0.62323000000000006</v>
      </c>
      <c r="H276" s="51">
        <v>1.23</v>
      </c>
      <c r="I276" s="51">
        <v>1.96</v>
      </c>
      <c r="J276" s="51">
        <v>0</v>
      </c>
      <c r="L276" t="str">
        <f>VLOOKUP(B276,TABLE!D:E,2,FALSE)</f>
        <v>BRL</v>
      </c>
      <c r="M276" t="str">
        <f t="shared" si="4"/>
        <v>USD</v>
      </c>
      <c r="N276" s="51">
        <f>VLOOKUP($L276,TABLE!$I$3:$O$13,N$2,FALSE)/VLOOKUP($M276,TABLE!$I$3:$O$13,N$2,FALSE)*F276</f>
        <v>0.28958189754192509</v>
      </c>
      <c r="O276" s="51">
        <f>VLOOKUP($L276,TABLE!$I$3:$O$13,O$2,FALSE)/VLOOKUP($M276,TABLE!$I$3:$O$13,O$2,FALSE)*G276</f>
        <v>0.37404273196495025</v>
      </c>
      <c r="P276" s="51">
        <f>VLOOKUP($L276,TABLE!$I$3:$O$13,P$2,FALSE)/VLOOKUP($M276,TABLE!$I$3:$O$13,P$2,FALSE)*H276</f>
        <v>0.65572022603689095</v>
      </c>
      <c r="Q276" s="51">
        <f>VLOOKUP($L276,TABLE!$I$3:$O$13,Q$2,FALSE)/VLOOKUP($M276,TABLE!$I$3:$O$13,Q$2,FALSE)*I276</f>
        <v>0.95913873256667481</v>
      </c>
      <c r="R276" s="51">
        <f>VLOOKUP($L276,TABLE!$I$3:$O$13,R$2,FALSE)/VLOOKUP($M276,TABLE!$I$3:$O$13,R$2,FALSE)*J276</f>
        <v>0</v>
      </c>
    </row>
    <row r="277" spans="2:18">
      <c r="B277" t="s">
        <v>33</v>
      </c>
      <c r="C277" t="s">
        <v>124</v>
      </c>
      <c r="D277" t="s">
        <v>25</v>
      </c>
      <c r="E277" t="s">
        <v>483</v>
      </c>
      <c r="F277" s="51">
        <v>6.59</v>
      </c>
      <c r="G277" s="51">
        <v>7.82</v>
      </c>
      <c r="H277" s="51">
        <v>8.42</v>
      </c>
      <c r="I277" s="51">
        <v>9.01</v>
      </c>
      <c r="J277" s="51">
        <v>8.07</v>
      </c>
      <c r="L277" t="str">
        <f>VLOOKUP(B277,TABLE!D:E,2,FALSE)</f>
        <v>BRL</v>
      </c>
      <c r="M277" t="str">
        <f t="shared" si="4"/>
        <v>USD</v>
      </c>
      <c r="N277" s="51">
        <f>VLOOKUP($L277,TABLE!$I$3:$O$13,N$2,FALSE)/VLOOKUP($M277,TABLE!$I$3:$O$13,N$2,FALSE)*F277</f>
        <v>3.784746152079026</v>
      </c>
      <c r="O277" s="51">
        <f>VLOOKUP($L277,TABLE!$I$3:$O$13,O$2,FALSE)/VLOOKUP($M277,TABLE!$I$3:$O$13,O$2,FALSE)*G277</f>
        <v>4.6933141279558281</v>
      </c>
      <c r="P277" s="51">
        <f>VLOOKUP($L277,TABLE!$I$3:$O$13,P$2,FALSE)/VLOOKUP($M277,TABLE!$I$3:$O$13,P$2,FALSE)*H277</f>
        <v>4.4887514660411565</v>
      </c>
      <c r="Q277" s="51">
        <f>VLOOKUP($L277,TABLE!$I$3:$O$13,Q$2,FALSE)/VLOOKUP($M277,TABLE!$I$3:$O$13,Q$2,FALSE)*I277</f>
        <v>4.4091020308294588</v>
      </c>
      <c r="R277" s="51">
        <f>VLOOKUP($L277,TABLE!$I$3:$O$13,R$2,FALSE)/VLOOKUP($M277,TABLE!$I$3:$O$13,R$2,FALSE)*J277</f>
        <v>3.4448902928370186</v>
      </c>
    </row>
    <row r="278" spans="2:18">
      <c r="B278" t="s">
        <v>33</v>
      </c>
      <c r="C278" t="s">
        <v>124</v>
      </c>
      <c r="D278" t="s">
        <v>30</v>
      </c>
      <c r="E278" t="s">
        <v>484</v>
      </c>
      <c r="F278" s="51">
        <v>10.98</v>
      </c>
      <c r="G278" s="51">
        <v>14.45</v>
      </c>
      <c r="H278" s="51">
        <v>16.52</v>
      </c>
      <c r="I278" s="51">
        <v>16.899999999999999</v>
      </c>
      <c r="J278" s="51">
        <v>17.309999999999999</v>
      </c>
      <c r="L278" t="str">
        <f>VLOOKUP(B278,TABLE!D:E,2,FALSE)</f>
        <v>BRL</v>
      </c>
      <c r="M278" t="str">
        <f t="shared" si="4"/>
        <v>USD</v>
      </c>
      <c r="N278" s="51">
        <f>VLOOKUP($L278,TABLE!$I$3:$O$13,N$2,FALSE)/VLOOKUP($M278,TABLE!$I$3:$O$13,N$2,FALSE)*F278</f>
        <v>6.3059958649207442</v>
      </c>
      <c r="O278" s="51">
        <f>VLOOKUP($L278,TABLE!$I$3:$O$13,O$2,FALSE)/VLOOKUP($M278,TABLE!$I$3:$O$13,O$2,FALSE)*G278</f>
        <v>8.6724282799183783</v>
      </c>
      <c r="P278" s="51">
        <f>VLOOKUP($L278,TABLE!$I$3:$O$13,P$2,FALSE)/VLOOKUP($M278,TABLE!$I$3:$O$13,P$2,FALSE)*H278</f>
        <v>8.8069090521377547</v>
      </c>
      <c r="Q278" s="51">
        <f>VLOOKUP($L278,TABLE!$I$3:$O$13,Q$2,FALSE)/VLOOKUP($M278,TABLE!$I$3:$O$13,Q$2,FALSE)*I278</f>
        <v>8.2701247859065319</v>
      </c>
      <c r="R278" s="51">
        <f>VLOOKUP($L278,TABLE!$I$3:$O$13,R$2,FALSE)/VLOOKUP($M278,TABLE!$I$3:$O$13,R$2,FALSE)*J278</f>
        <v>7.3892256467173221</v>
      </c>
    </row>
    <row r="279" spans="2:18">
      <c r="B279" t="s">
        <v>33</v>
      </c>
      <c r="C279" t="s">
        <v>124</v>
      </c>
      <c r="D279" t="s">
        <v>34</v>
      </c>
      <c r="E279" t="s">
        <v>485</v>
      </c>
      <c r="F279" s="51">
        <v>3.92</v>
      </c>
      <c r="G279" s="51">
        <v>6.52</v>
      </c>
      <c r="H279" s="51">
        <v>6.66</v>
      </c>
      <c r="I279" s="51">
        <v>4.7699999999999996</v>
      </c>
      <c r="J279" s="51">
        <v>4.8600000000000003</v>
      </c>
      <c r="L279" t="str">
        <f>VLOOKUP(B279,TABLE!D:E,2,FALSE)</f>
        <v>BRL</v>
      </c>
      <c r="M279" t="str">
        <f t="shared" si="4"/>
        <v>USD</v>
      </c>
      <c r="N279" s="51">
        <f>VLOOKUP($L279,TABLE!$I$3:$O$13,N$2,FALSE)/VLOOKUP($M279,TABLE!$I$3:$O$13,N$2,FALSE)*F279</f>
        <v>2.2513209280955664</v>
      </c>
      <c r="O279" s="51">
        <f>VLOOKUP($L279,TABLE!$I$3:$O$13,O$2,FALSE)/VLOOKUP($M279,TABLE!$I$3:$O$13,O$2,FALSE)*G279</f>
        <v>3.9130956667867003</v>
      </c>
      <c r="P279" s="51">
        <f>VLOOKUP($L279,TABLE!$I$3:$O$13,P$2,FALSE)/VLOOKUP($M279,TABLE!$I$3:$O$13,P$2,FALSE)*H279</f>
        <v>3.5504851263460928</v>
      </c>
      <c r="Q279" s="51">
        <f>VLOOKUP($L279,TABLE!$I$3:$O$13,Q$2,FALSE)/VLOOKUP($M279,TABLE!$I$3:$O$13,Q$2,FALSE)*I279</f>
        <v>2.3342304869097137</v>
      </c>
      <c r="R279" s="51">
        <f>VLOOKUP($L279,TABLE!$I$3:$O$13,R$2,FALSE)/VLOOKUP($M279,TABLE!$I$3:$O$13,R$2,FALSE)*J279</f>
        <v>2.0746179458721081</v>
      </c>
    </row>
    <row r="280" spans="2:18">
      <c r="B280" t="s">
        <v>33</v>
      </c>
      <c r="C280" t="s">
        <v>124</v>
      </c>
      <c r="D280" t="s">
        <v>48</v>
      </c>
      <c r="E280" t="s">
        <v>486</v>
      </c>
      <c r="F280" s="51">
        <v>2.62</v>
      </c>
      <c r="G280" s="51">
        <v>2.52</v>
      </c>
      <c r="H280" s="51">
        <v>3.71</v>
      </c>
      <c r="I280" s="51">
        <v>-0.42011000000000004</v>
      </c>
      <c r="J280" s="51">
        <v>0.53398999999999996</v>
      </c>
      <c r="L280" t="str">
        <f>VLOOKUP(B280,TABLE!D:E,2,FALSE)</f>
        <v>BRL</v>
      </c>
      <c r="M280" t="str">
        <f t="shared" si="4"/>
        <v>USD</v>
      </c>
      <c r="N280" s="51">
        <f>VLOOKUP($L280,TABLE!$I$3:$O$13,N$2,FALSE)/VLOOKUP($M280,TABLE!$I$3:$O$13,N$2,FALSE)*F280</f>
        <v>1.5047093958189754</v>
      </c>
      <c r="O280" s="51">
        <f>VLOOKUP($L280,TABLE!$I$3:$O$13,O$2,FALSE)/VLOOKUP($M280,TABLE!$I$3:$O$13,O$2,FALSE)*G280</f>
        <v>1.5124234785740009</v>
      </c>
      <c r="P280" s="51">
        <f>VLOOKUP($L280,TABLE!$I$3:$O$13,P$2,FALSE)/VLOOKUP($M280,TABLE!$I$3:$O$13,P$2,FALSE)*H280</f>
        <v>1.9778227956072079</v>
      </c>
      <c r="Q280" s="51">
        <f>VLOOKUP($L280,TABLE!$I$3:$O$13,Q$2,FALSE)/VLOOKUP($M280,TABLE!$I$3:$O$13,Q$2,FALSE)*I280</f>
        <v>-0.20558355762172745</v>
      </c>
      <c r="R280" s="51">
        <f>VLOOKUP($L280,TABLE!$I$3:$O$13,R$2,FALSE)/VLOOKUP($M280,TABLE!$I$3:$O$13,R$2,FALSE)*J280</f>
        <v>0.22794757961239648</v>
      </c>
    </row>
    <row r="281" spans="2:18">
      <c r="B281" t="s">
        <v>33</v>
      </c>
      <c r="C281" t="s">
        <v>124</v>
      </c>
      <c r="D281" t="s">
        <v>50</v>
      </c>
      <c r="E281" t="s">
        <v>487</v>
      </c>
      <c r="F281" s="51">
        <v>3.08</v>
      </c>
      <c r="G281" s="51">
        <v>5.8</v>
      </c>
      <c r="H281" s="51">
        <v>6.13</v>
      </c>
      <c r="I281" s="51">
        <v>3.96</v>
      </c>
      <c r="J281" s="51">
        <v>4.62</v>
      </c>
      <c r="L281" t="str">
        <f>VLOOKUP(B281,TABLE!D:E,2,FALSE)</f>
        <v>BRL</v>
      </c>
      <c r="M281" t="str">
        <f t="shared" si="4"/>
        <v>USD</v>
      </c>
      <c r="N281" s="51">
        <f>VLOOKUP($L281,TABLE!$I$3:$O$13,N$2,FALSE)/VLOOKUP($M281,TABLE!$I$3:$O$13,N$2,FALSE)*F281</f>
        <v>1.7688950149322307</v>
      </c>
      <c r="O281" s="51">
        <f>VLOOKUP($L281,TABLE!$I$3:$O$13,O$2,FALSE)/VLOOKUP($M281,TABLE!$I$3:$O$13,O$2,FALSE)*G281</f>
        <v>3.4809746729084146</v>
      </c>
      <c r="P281" s="51">
        <f>VLOOKUP($L281,TABLE!$I$3:$O$13,P$2,FALSE)/VLOOKUP($M281,TABLE!$I$3:$O$13,P$2,FALSE)*H281</f>
        <v>3.2679390126879202</v>
      </c>
      <c r="Q281" s="51">
        <f>VLOOKUP($L281,TABLE!$I$3:$O$13,Q$2,FALSE)/VLOOKUP($M281,TABLE!$I$3:$O$13,Q$2,FALSE)*I281</f>
        <v>1.9378517249816491</v>
      </c>
      <c r="R281" s="51">
        <f>VLOOKUP($L281,TABLE!$I$3:$O$13,R$2,FALSE)/VLOOKUP($M281,TABLE!$I$3:$O$13,R$2,FALSE)*J281</f>
        <v>1.9721676769401519</v>
      </c>
    </row>
    <row r="282" spans="2:18">
      <c r="B282" t="s">
        <v>33</v>
      </c>
      <c r="C282" t="s">
        <v>124</v>
      </c>
      <c r="D282" t="s">
        <v>44</v>
      </c>
      <c r="E282" t="s">
        <v>488</v>
      </c>
      <c r="F282" s="51">
        <v>0.87654999999999994</v>
      </c>
      <c r="G282" s="51">
        <v>1.22</v>
      </c>
      <c r="H282" s="51">
        <v>1.91</v>
      </c>
      <c r="I282" s="51">
        <v>1.85</v>
      </c>
      <c r="J282" s="51">
        <v>2.5099999999999998</v>
      </c>
      <c r="L282" t="str">
        <f>VLOOKUP(B282,TABLE!D:E,2,FALSE)</f>
        <v>BRL</v>
      </c>
      <c r="M282" t="str">
        <f t="shared" si="4"/>
        <v>USD</v>
      </c>
      <c r="N282" s="51">
        <f>VLOOKUP($L282,TABLE!$I$3:$O$13,N$2,FALSE)/VLOOKUP($M282,TABLE!$I$3:$O$13,N$2,FALSE)*F282</f>
        <v>0.50341718355157361</v>
      </c>
      <c r="O282" s="51">
        <f>VLOOKUP($L282,TABLE!$I$3:$O$13,O$2,FALSE)/VLOOKUP($M282,TABLE!$I$3:$O$13,O$2,FALSE)*G282</f>
        <v>0.73220501740487343</v>
      </c>
      <c r="P282" s="51">
        <f>VLOOKUP($L282,TABLE!$I$3:$O$13,P$2,FALSE)/VLOOKUP($M282,TABLE!$I$3:$O$13,P$2,FALSE)*H282</f>
        <v>1.0182322209190746</v>
      </c>
      <c r="Q282" s="51">
        <f>VLOOKUP($L282,TABLE!$I$3:$O$13,Q$2,FALSE)/VLOOKUP($M282,TABLE!$I$3:$O$13,Q$2,FALSE)*I282</f>
        <v>0.90530951798385129</v>
      </c>
      <c r="R282" s="51">
        <f>VLOOKUP($L282,TABLE!$I$3:$O$13,R$2,FALSE)/VLOOKUP($M282,TABLE!$I$3:$O$13,R$2,FALSE)*J282</f>
        <v>1.0714590625800391</v>
      </c>
    </row>
    <row r="283" spans="2:18">
      <c r="B283" t="s">
        <v>33</v>
      </c>
      <c r="C283" t="s">
        <v>124</v>
      </c>
      <c r="D283" t="s">
        <v>42</v>
      </c>
      <c r="E283" t="s">
        <v>489</v>
      </c>
      <c r="F283" s="51">
        <v>0.27617999999999998</v>
      </c>
      <c r="G283" s="51">
        <v>0.39418000000000003</v>
      </c>
      <c r="H283" s="51">
        <v>0.55308000000000002</v>
      </c>
      <c r="I283" s="51">
        <v>0.23787</v>
      </c>
      <c r="J283" s="51">
        <v>0</v>
      </c>
      <c r="L283" t="str">
        <f>VLOOKUP(B283,TABLE!D:E,2,FALSE)</f>
        <v>BRL</v>
      </c>
      <c r="M283" t="str">
        <f t="shared" si="4"/>
        <v>USD</v>
      </c>
      <c r="N283" s="51">
        <f>VLOOKUP($L283,TABLE!$I$3:$O$13,N$2,FALSE)/VLOOKUP($M283,TABLE!$I$3:$O$13,N$2,FALSE)*F283</f>
        <v>0.15861474844934526</v>
      </c>
      <c r="O283" s="51">
        <f>VLOOKUP($L283,TABLE!$I$3:$O$13,O$2,FALSE)/VLOOKUP($M283,TABLE!$I$3:$O$13,O$2,FALSE)*G283</f>
        <v>0.23657424078742051</v>
      </c>
      <c r="P283" s="51">
        <f>VLOOKUP($L283,TABLE!$I$3:$O$13,P$2,FALSE)/VLOOKUP($M283,TABLE!$I$3:$O$13,P$2,FALSE)*H283</f>
        <v>0.29485019724917372</v>
      </c>
      <c r="Q283" s="51">
        <f>VLOOKUP($L283,TABLE!$I$3:$O$13,Q$2,FALSE)/VLOOKUP($M283,TABLE!$I$3:$O$13,Q$2,FALSE)*I283</f>
        <v>0.11640322975287497</v>
      </c>
      <c r="R283" s="51">
        <f>VLOOKUP($L283,TABLE!$I$3:$O$13,R$2,FALSE)/VLOOKUP($M283,TABLE!$I$3:$O$13,R$2,FALSE)*J283</f>
        <v>0</v>
      </c>
    </row>
    <row r="284" spans="2:18">
      <c r="B284" t="s">
        <v>33</v>
      </c>
      <c r="C284" t="s">
        <v>124</v>
      </c>
      <c r="D284" t="s">
        <v>145</v>
      </c>
      <c r="E284" t="s">
        <v>490</v>
      </c>
      <c r="F284" s="51"/>
      <c r="G284" s="51"/>
      <c r="H284" s="51"/>
      <c r="I284" s="51"/>
      <c r="J284" s="51"/>
      <c r="L284" t="str">
        <f>VLOOKUP(B284,TABLE!D:E,2,FALSE)</f>
        <v>BRL</v>
      </c>
      <c r="M284" t="str">
        <f t="shared" si="4"/>
        <v>USD</v>
      </c>
      <c r="N284" s="51">
        <f>VLOOKUP($L284,TABLE!$I$3:$O$13,N$2,FALSE)/VLOOKUP($M284,TABLE!$I$3:$O$13,N$2,FALSE)*F284</f>
        <v>0</v>
      </c>
      <c r="O284" s="51">
        <f>VLOOKUP($L284,TABLE!$I$3:$O$13,O$2,FALSE)/VLOOKUP($M284,TABLE!$I$3:$O$13,O$2,FALSE)*G284</f>
        <v>0</v>
      </c>
      <c r="P284" s="51">
        <f>VLOOKUP($L284,TABLE!$I$3:$O$13,P$2,FALSE)/VLOOKUP($M284,TABLE!$I$3:$O$13,P$2,FALSE)*H284</f>
        <v>0</v>
      </c>
      <c r="Q284" s="51">
        <f>VLOOKUP($L284,TABLE!$I$3:$O$13,Q$2,FALSE)/VLOOKUP($M284,TABLE!$I$3:$O$13,Q$2,FALSE)*I284</f>
        <v>0</v>
      </c>
      <c r="R284" s="51">
        <f>VLOOKUP($L284,TABLE!$I$3:$O$13,R$2,FALSE)/VLOOKUP($M284,TABLE!$I$3:$O$13,R$2,FALSE)*J284</f>
        <v>0</v>
      </c>
    </row>
    <row r="285" spans="2:18">
      <c r="B285" t="s">
        <v>33</v>
      </c>
      <c r="C285" t="s">
        <v>124</v>
      </c>
      <c r="D285" t="s">
        <v>36</v>
      </c>
      <c r="E285" t="s">
        <v>491</v>
      </c>
      <c r="F285" s="51">
        <v>1.08</v>
      </c>
      <c r="G285" s="51">
        <v>1</v>
      </c>
      <c r="H285" s="51">
        <v>1.18</v>
      </c>
      <c r="I285" s="51">
        <v>1.53</v>
      </c>
      <c r="J285" s="51">
        <v>1.33</v>
      </c>
      <c r="L285" t="str">
        <f>VLOOKUP(B285,TABLE!D:E,2,FALSE)</f>
        <v>BRL</v>
      </c>
      <c r="M285" t="str">
        <f t="shared" si="4"/>
        <v>USD</v>
      </c>
      <c r="N285" s="51">
        <f>VLOOKUP($L285,TABLE!$I$3:$O$13,N$2,FALSE)/VLOOKUP($M285,TABLE!$I$3:$O$13,N$2,FALSE)*F285</f>
        <v>0.62026188835286011</v>
      </c>
      <c r="O285" s="51">
        <f>VLOOKUP($L285,TABLE!$I$3:$O$13,O$2,FALSE)/VLOOKUP($M285,TABLE!$I$3:$O$13,O$2,FALSE)*G285</f>
        <v>0.60016804705317495</v>
      </c>
      <c r="P285" s="51">
        <f>VLOOKUP($L285,TABLE!$I$3:$O$13,P$2,FALSE)/VLOOKUP($M285,TABLE!$I$3:$O$13,P$2,FALSE)*H285</f>
        <v>0.62906493229555394</v>
      </c>
      <c r="Q285" s="51">
        <f>VLOOKUP($L285,TABLE!$I$3:$O$13,Q$2,FALSE)/VLOOKUP($M285,TABLE!$I$3:$O$13,Q$2,FALSE)*I285</f>
        <v>0.74871543919745542</v>
      </c>
      <c r="R285" s="51">
        <f>VLOOKUP($L285,TABLE!$I$3:$O$13,R$2,FALSE)/VLOOKUP($M285,TABLE!$I$3:$O$13,R$2,FALSE)*J285</f>
        <v>0.56774524033125584</v>
      </c>
    </row>
    <row r="286" spans="2:18">
      <c r="B286" t="s">
        <v>33</v>
      </c>
      <c r="C286" t="s">
        <v>124</v>
      </c>
      <c r="D286" t="s">
        <v>38</v>
      </c>
      <c r="E286" t="s">
        <v>492</v>
      </c>
      <c r="F286" s="51">
        <v>0</v>
      </c>
      <c r="G286" s="51">
        <v>2.1139999999999999E-2</v>
      </c>
      <c r="H286" s="51">
        <v>4.2049999999999997E-2</v>
      </c>
      <c r="I286" s="51">
        <v>6.105E-2</v>
      </c>
      <c r="J286" s="51">
        <v>0</v>
      </c>
      <c r="L286" t="str">
        <f>VLOOKUP(B286,TABLE!D:E,2,FALSE)</f>
        <v>BRL</v>
      </c>
      <c r="M286" t="str">
        <f t="shared" si="4"/>
        <v>USD</v>
      </c>
      <c r="N286" s="51">
        <f>VLOOKUP($L286,TABLE!$I$3:$O$13,N$2,FALSE)/VLOOKUP($M286,TABLE!$I$3:$O$13,N$2,FALSE)*F286</f>
        <v>0</v>
      </c>
      <c r="O286" s="51">
        <f>VLOOKUP($L286,TABLE!$I$3:$O$13,O$2,FALSE)/VLOOKUP($M286,TABLE!$I$3:$O$13,O$2,FALSE)*G286</f>
        <v>1.2687552514704117E-2</v>
      </c>
      <c r="P286" s="51">
        <f>VLOOKUP($L286,TABLE!$I$3:$O$13,P$2,FALSE)/VLOOKUP($M286,TABLE!$I$3:$O$13,P$2,FALSE)*H286</f>
        <v>2.2417102036464444E-2</v>
      </c>
      <c r="Q286" s="51">
        <f>VLOOKUP($L286,TABLE!$I$3:$O$13,Q$2,FALSE)/VLOOKUP($M286,TABLE!$I$3:$O$13,Q$2,FALSE)*I286</f>
        <v>2.9875214093467092E-2</v>
      </c>
      <c r="R286" s="51">
        <f>VLOOKUP($L286,TABLE!$I$3:$O$13,R$2,FALSE)/VLOOKUP($M286,TABLE!$I$3:$O$13,R$2,FALSE)*J286</f>
        <v>0</v>
      </c>
    </row>
    <row r="287" spans="2:18">
      <c r="B287" t="s">
        <v>33</v>
      </c>
      <c r="C287" t="s">
        <v>124</v>
      </c>
      <c r="D287" t="s">
        <v>40</v>
      </c>
      <c r="E287" t="s">
        <v>493</v>
      </c>
      <c r="F287" s="51">
        <v>1.08</v>
      </c>
      <c r="G287" s="51">
        <v>0.98321000000000003</v>
      </c>
      <c r="H287" s="51">
        <v>1.1399999999999999</v>
      </c>
      <c r="I287" s="51">
        <v>1.47</v>
      </c>
      <c r="J287" s="51">
        <v>1.33</v>
      </c>
      <c r="L287" t="str">
        <f>VLOOKUP(B287,TABLE!D:E,2,FALSE)</f>
        <v>BRL</v>
      </c>
      <c r="M287" t="str">
        <f t="shared" si="4"/>
        <v>USD</v>
      </c>
      <c r="N287" s="51">
        <f>VLOOKUP($L287,TABLE!$I$3:$O$13,N$2,FALSE)/VLOOKUP($M287,TABLE!$I$3:$O$13,N$2,FALSE)*F287</f>
        <v>0.62026188835286011</v>
      </c>
      <c r="O287" s="51">
        <f>VLOOKUP($L287,TABLE!$I$3:$O$13,O$2,FALSE)/VLOOKUP($M287,TABLE!$I$3:$O$13,O$2,FALSE)*G287</f>
        <v>0.59009122554315219</v>
      </c>
      <c r="P287" s="51">
        <f>VLOOKUP($L287,TABLE!$I$3:$O$13,P$2,FALSE)/VLOOKUP($M287,TABLE!$I$3:$O$13,P$2,FALSE)*H287</f>
        <v>0.60774069730248426</v>
      </c>
      <c r="Q287" s="51">
        <f>VLOOKUP($L287,TABLE!$I$3:$O$13,Q$2,FALSE)/VLOOKUP($M287,TABLE!$I$3:$O$13,Q$2,FALSE)*I287</f>
        <v>0.71935404942500614</v>
      </c>
      <c r="R287" s="51">
        <f>VLOOKUP($L287,TABLE!$I$3:$O$13,R$2,FALSE)/VLOOKUP($M287,TABLE!$I$3:$O$13,R$2,FALSE)*J287</f>
        <v>0.56774524033125584</v>
      </c>
    </row>
    <row r="288" spans="2:18">
      <c r="B288" t="s">
        <v>33</v>
      </c>
      <c r="C288" t="s">
        <v>124</v>
      </c>
      <c r="D288" t="s">
        <v>46</v>
      </c>
      <c r="E288" t="s">
        <v>494</v>
      </c>
      <c r="F288" s="51">
        <v>3.31</v>
      </c>
      <c r="G288" s="51">
        <v>3.09</v>
      </c>
      <c r="H288" s="51">
        <v>3.75</v>
      </c>
      <c r="I288" s="51">
        <v>-1.35</v>
      </c>
      <c r="J288" s="51">
        <v>0.45001999999999998</v>
      </c>
      <c r="L288" t="str">
        <f>VLOOKUP(B288,TABLE!D:E,2,FALSE)</f>
        <v>BRL</v>
      </c>
      <c r="M288" t="str">
        <f t="shared" si="4"/>
        <v>USD</v>
      </c>
      <c r="N288" s="51">
        <f>VLOOKUP($L288,TABLE!$I$3:$O$13,N$2,FALSE)/VLOOKUP($M288,TABLE!$I$3:$O$13,N$2,FALSE)*F288</f>
        <v>1.9009878244888583</v>
      </c>
      <c r="O288" s="51">
        <f>VLOOKUP($L288,TABLE!$I$3:$O$13,O$2,FALSE)/VLOOKUP($M288,TABLE!$I$3:$O$13,O$2,FALSE)*G288</f>
        <v>1.8545192653943106</v>
      </c>
      <c r="P288" s="51">
        <f>VLOOKUP($L288,TABLE!$I$3:$O$13,P$2,FALSE)/VLOOKUP($M288,TABLE!$I$3:$O$13,P$2,FALSE)*H288</f>
        <v>1.9991470306002774</v>
      </c>
      <c r="Q288" s="51">
        <f>VLOOKUP($L288,TABLE!$I$3:$O$13,Q$2,FALSE)/VLOOKUP($M288,TABLE!$I$3:$O$13,Q$2,FALSE)*I288</f>
        <v>-0.66063126988010767</v>
      </c>
      <c r="R288" s="51">
        <f>VLOOKUP($L288,TABLE!$I$3:$O$13,R$2,FALSE)/VLOOKUP($M288,TABLE!$I$3:$O$13,R$2,FALSE)*J288</f>
        <v>0.19210279176982839</v>
      </c>
    </row>
    <row r="289" spans="2:18">
      <c r="B289" t="s">
        <v>35</v>
      </c>
      <c r="C289" t="s">
        <v>124</v>
      </c>
      <c r="D289" t="s">
        <v>9</v>
      </c>
      <c r="E289" t="s">
        <v>495</v>
      </c>
      <c r="F289" s="51">
        <v>4.78</v>
      </c>
      <c r="G289" s="51">
        <v>2.1800000000000002</v>
      </c>
      <c r="H289" s="51">
        <v>4.58</v>
      </c>
      <c r="I289" s="51">
        <v>2.5</v>
      </c>
      <c r="J289" s="51">
        <v>4.22</v>
      </c>
      <c r="L289" t="str">
        <f>VLOOKUP(B289,TABLE!D:E,2,FALSE)</f>
        <v>BRL</v>
      </c>
      <c r="M289" t="str">
        <f t="shared" si="4"/>
        <v>USD</v>
      </c>
      <c r="N289" s="51">
        <f>VLOOKUP($L289,TABLE!$I$3:$O$13,N$2,FALSE)/VLOOKUP($M289,TABLE!$I$3:$O$13,N$2,FALSE)*F289</f>
        <v>2.7452331725246957</v>
      </c>
      <c r="O289" s="51">
        <f>VLOOKUP($L289,TABLE!$I$3:$O$13,O$2,FALSE)/VLOOKUP($M289,TABLE!$I$3:$O$13,O$2,FALSE)*G289</f>
        <v>1.3083663425759215</v>
      </c>
      <c r="P289" s="51">
        <f>VLOOKUP($L289,TABLE!$I$3:$O$13,P$2,FALSE)/VLOOKUP($M289,TABLE!$I$3:$O$13,P$2,FALSE)*H289</f>
        <v>2.4416249067064721</v>
      </c>
      <c r="Q289" s="51">
        <f>VLOOKUP($L289,TABLE!$I$3:$O$13,Q$2,FALSE)/VLOOKUP($M289,TABLE!$I$3:$O$13,Q$2,FALSE)*I289</f>
        <v>1.2233912405187179</v>
      </c>
      <c r="R289" s="51">
        <f>VLOOKUP($L289,TABLE!$I$3:$O$13,R$2,FALSE)/VLOOKUP($M289,TABLE!$I$3:$O$13,R$2,FALSE)*J289</f>
        <v>1.8014172287202252</v>
      </c>
    </row>
    <row r="290" spans="2:18">
      <c r="B290" t="s">
        <v>35</v>
      </c>
      <c r="C290" t="s">
        <v>124</v>
      </c>
      <c r="D290" t="s">
        <v>11</v>
      </c>
      <c r="E290" t="s">
        <v>496</v>
      </c>
      <c r="F290" s="51">
        <v>2.59</v>
      </c>
      <c r="G290" s="51">
        <v>3.15</v>
      </c>
      <c r="H290" s="51">
        <v>3.6</v>
      </c>
      <c r="I290" s="51">
        <v>3.7</v>
      </c>
      <c r="J290" s="51">
        <v>4.08</v>
      </c>
      <c r="L290" t="str">
        <f>VLOOKUP(B290,TABLE!D:E,2,FALSE)</f>
        <v>BRL</v>
      </c>
      <c r="M290" t="str">
        <f t="shared" si="4"/>
        <v>USD</v>
      </c>
      <c r="N290" s="51">
        <f>VLOOKUP($L290,TABLE!$I$3:$O$13,N$2,FALSE)/VLOOKUP($M290,TABLE!$I$3:$O$13,N$2,FALSE)*F290</f>
        <v>1.4874798989202849</v>
      </c>
      <c r="O290" s="51">
        <f>VLOOKUP($L290,TABLE!$I$3:$O$13,O$2,FALSE)/VLOOKUP($M290,TABLE!$I$3:$O$13,O$2,FALSE)*G290</f>
        <v>1.890529348217501</v>
      </c>
      <c r="P290" s="51">
        <f>VLOOKUP($L290,TABLE!$I$3:$O$13,P$2,FALSE)/VLOOKUP($M290,TABLE!$I$3:$O$13,P$2,FALSE)*H290</f>
        <v>1.9191811493762665</v>
      </c>
      <c r="Q290" s="51">
        <f>VLOOKUP($L290,TABLE!$I$3:$O$13,Q$2,FALSE)/VLOOKUP($M290,TABLE!$I$3:$O$13,Q$2,FALSE)*I290</f>
        <v>1.8106190359677026</v>
      </c>
      <c r="R290" s="51">
        <f>VLOOKUP($L290,TABLE!$I$3:$O$13,R$2,FALSE)/VLOOKUP($M290,TABLE!$I$3:$O$13,R$2,FALSE)*J290</f>
        <v>1.741654571843251</v>
      </c>
    </row>
    <row r="291" spans="2:18">
      <c r="B291" t="s">
        <v>35</v>
      </c>
      <c r="C291" t="s">
        <v>124</v>
      </c>
      <c r="D291" t="s">
        <v>13</v>
      </c>
      <c r="E291" t="s">
        <v>497</v>
      </c>
      <c r="F291" s="51">
        <v>5.75</v>
      </c>
      <c r="G291" s="51">
        <v>6.8</v>
      </c>
      <c r="H291" s="51">
        <v>8.06</v>
      </c>
      <c r="I291" s="51">
        <v>9.02</v>
      </c>
      <c r="J291" s="51">
        <v>8.5</v>
      </c>
      <c r="L291" t="str">
        <f>VLOOKUP(B291,TABLE!D:E,2,FALSE)</f>
        <v>BRL</v>
      </c>
      <c r="M291" t="str">
        <f t="shared" si="4"/>
        <v>USD</v>
      </c>
      <c r="N291" s="51">
        <f>VLOOKUP($L291,TABLE!$I$3:$O$13,N$2,FALSE)/VLOOKUP($M291,TABLE!$I$3:$O$13,N$2,FALSE)*F291</f>
        <v>3.3023202389156903</v>
      </c>
      <c r="O291" s="51">
        <f>VLOOKUP($L291,TABLE!$I$3:$O$13,O$2,FALSE)/VLOOKUP($M291,TABLE!$I$3:$O$13,O$2,FALSE)*G291</f>
        <v>4.0811427199615897</v>
      </c>
      <c r="P291" s="51">
        <f>VLOOKUP($L291,TABLE!$I$3:$O$13,P$2,FALSE)/VLOOKUP($M291,TABLE!$I$3:$O$13,P$2,FALSE)*H291</f>
        <v>4.2968333511035297</v>
      </c>
      <c r="Q291" s="51">
        <f>VLOOKUP($L291,TABLE!$I$3:$O$13,Q$2,FALSE)/VLOOKUP($M291,TABLE!$I$3:$O$13,Q$2,FALSE)*I291</f>
        <v>4.4139955957915342</v>
      </c>
      <c r="R291" s="51">
        <f>VLOOKUP($L291,TABLE!$I$3:$O$13,R$2,FALSE)/VLOOKUP($M291,TABLE!$I$3:$O$13,R$2,FALSE)*J291</f>
        <v>3.6284470246734397</v>
      </c>
    </row>
    <row r="292" spans="2:18">
      <c r="B292" t="s">
        <v>35</v>
      </c>
      <c r="C292" t="s">
        <v>124</v>
      </c>
      <c r="D292" t="s">
        <v>15</v>
      </c>
      <c r="E292" t="s">
        <v>498</v>
      </c>
      <c r="F292" s="51">
        <v>14.16</v>
      </c>
      <c r="G292" s="51">
        <v>12.95</v>
      </c>
      <c r="H292" s="51">
        <v>17.32</v>
      </c>
      <c r="I292" s="51">
        <v>16.41</v>
      </c>
      <c r="J292" s="51">
        <v>18.18</v>
      </c>
      <c r="L292" t="str">
        <f>VLOOKUP(B292,TABLE!D:E,2,FALSE)</f>
        <v>BRL</v>
      </c>
      <c r="M292" t="str">
        <f t="shared" si="4"/>
        <v>USD</v>
      </c>
      <c r="N292" s="51">
        <f>VLOOKUP($L292,TABLE!$I$3:$O$13,N$2,FALSE)/VLOOKUP($M292,TABLE!$I$3:$O$13,N$2,FALSE)*F292</f>
        <v>8.1323225361819436</v>
      </c>
      <c r="O292" s="51">
        <f>VLOOKUP($L292,TABLE!$I$3:$O$13,O$2,FALSE)/VLOOKUP($M292,TABLE!$I$3:$O$13,O$2,FALSE)*G292</f>
        <v>7.7721762093386149</v>
      </c>
      <c r="P292" s="51">
        <f>VLOOKUP($L292,TABLE!$I$3:$O$13,P$2,FALSE)/VLOOKUP($M292,TABLE!$I$3:$O$13,P$2,FALSE)*H292</f>
        <v>9.2333937519991487</v>
      </c>
      <c r="Q292" s="51">
        <f>VLOOKUP($L292,TABLE!$I$3:$O$13,Q$2,FALSE)/VLOOKUP($M292,TABLE!$I$3:$O$13,Q$2,FALSE)*I292</f>
        <v>8.030340102764864</v>
      </c>
      <c r="R292" s="51">
        <f>VLOOKUP($L292,TABLE!$I$3:$O$13,R$2,FALSE)/VLOOKUP($M292,TABLE!$I$3:$O$13,R$2,FALSE)*J292</f>
        <v>7.7606078715956626</v>
      </c>
    </row>
    <row r="293" spans="2:18">
      <c r="B293" t="s">
        <v>35</v>
      </c>
      <c r="C293" t="s">
        <v>124</v>
      </c>
      <c r="D293" t="s">
        <v>18</v>
      </c>
      <c r="E293" t="s">
        <v>499</v>
      </c>
      <c r="F293" s="51">
        <v>44.58</v>
      </c>
      <c r="G293" s="51">
        <v>42.89</v>
      </c>
      <c r="H293" s="51">
        <v>49.98</v>
      </c>
      <c r="I293" s="51">
        <v>53.09</v>
      </c>
      <c r="J293" s="51">
        <v>58.22</v>
      </c>
      <c r="L293" t="str">
        <f>VLOOKUP(B293,TABLE!D:E,2,FALSE)</f>
        <v>BRL</v>
      </c>
      <c r="M293" t="str">
        <f t="shared" si="4"/>
        <v>USD</v>
      </c>
      <c r="N293" s="51">
        <f>VLOOKUP($L293,TABLE!$I$3:$O$13,N$2,FALSE)/VLOOKUP($M293,TABLE!$I$3:$O$13,N$2,FALSE)*F293</f>
        <v>25.603032391454168</v>
      </c>
      <c r="O293" s="51">
        <f>VLOOKUP($L293,TABLE!$I$3:$O$13,O$2,FALSE)/VLOOKUP($M293,TABLE!$I$3:$O$13,O$2,FALSE)*G293</f>
        <v>25.741207538110675</v>
      </c>
      <c r="P293" s="51">
        <f>VLOOKUP($L293,TABLE!$I$3:$O$13,P$2,FALSE)/VLOOKUP($M293,TABLE!$I$3:$O$13,P$2,FALSE)*H293</f>
        <v>26.644631623840496</v>
      </c>
      <c r="Q293" s="51">
        <f>VLOOKUP($L293,TABLE!$I$3:$O$13,Q$2,FALSE)/VLOOKUP($M293,TABLE!$I$3:$O$13,Q$2,FALSE)*I293</f>
        <v>25.979936383655495</v>
      </c>
      <c r="R293" s="51">
        <f>VLOOKUP($L293,TABLE!$I$3:$O$13,R$2,FALSE)/VLOOKUP($M293,TABLE!$I$3:$O$13,R$2,FALSE)*J293</f>
        <v>24.852727738410312</v>
      </c>
    </row>
    <row r="294" spans="2:18">
      <c r="B294" t="s">
        <v>35</v>
      </c>
      <c r="C294" t="s">
        <v>124</v>
      </c>
      <c r="D294" t="s">
        <v>21</v>
      </c>
      <c r="E294" t="s">
        <v>500</v>
      </c>
      <c r="F294" s="51">
        <v>4.82</v>
      </c>
      <c r="G294" s="51">
        <v>5.0199999999999996</v>
      </c>
      <c r="H294" s="51">
        <v>6.78</v>
      </c>
      <c r="I294" s="51">
        <v>7.82</v>
      </c>
      <c r="J294" s="51">
        <v>7.24</v>
      </c>
      <c r="L294" t="str">
        <f>VLOOKUP(B294,TABLE!D:E,2,FALSE)</f>
        <v>BRL</v>
      </c>
      <c r="M294" t="str">
        <f t="shared" si="4"/>
        <v>USD</v>
      </c>
      <c r="N294" s="51">
        <f>VLOOKUP($L294,TABLE!$I$3:$O$13,N$2,FALSE)/VLOOKUP($M294,TABLE!$I$3:$O$13,N$2,FALSE)*F294</f>
        <v>2.7682058350562833</v>
      </c>
      <c r="O294" s="51">
        <f>VLOOKUP($L294,TABLE!$I$3:$O$13,O$2,FALSE)/VLOOKUP($M294,TABLE!$I$3:$O$13,O$2,FALSE)*G294</f>
        <v>3.0128435962069378</v>
      </c>
      <c r="P294" s="51">
        <f>VLOOKUP($L294,TABLE!$I$3:$O$13,P$2,FALSE)/VLOOKUP($M294,TABLE!$I$3:$O$13,P$2,FALSE)*H294</f>
        <v>3.6144578313253017</v>
      </c>
      <c r="Q294" s="51">
        <f>VLOOKUP($L294,TABLE!$I$3:$O$13,Q$2,FALSE)/VLOOKUP($M294,TABLE!$I$3:$O$13,Q$2,FALSE)*I294</f>
        <v>3.8267678003425498</v>
      </c>
      <c r="R294" s="51">
        <f>VLOOKUP($L294,TABLE!$I$3:$O$13,R$2,FALSE)/VLOOKUP($M294,TABLE!$I$3:$O$13,R$2,FALSE)*J294</f>
        <v>3.0905831127806711</v>
      </c>
    </row>
    <row r="295" spans="2:18">
      <c r="B295" t="s">
        <v>35</v>
      </c>
      <c r="C295" t="s">
        <v>124</v>
      </c>
      <c r="D295" t="s">
        <v>20</v>
      </c>
      <c r="E295" t="s">
        <v>501</v>
      </c>
      <c r="F295" s="51">
        <v>1.71</v>
      </c>
      <c r="G295" s="51">
        <v>1.78</v>
      </c>
      <c r="H295" s="51">
        <v>3.21</v>
      </c>
      <c r="I295" s="51">
        <v>3.06</v>
      </c>
      <c r="J295" s="51">
        <v>3.27</v>
      </c>
      <c r="L295" t="str">
        <f>VLOOKUP(B295,TABLE!D:E,2,FALSE)</f>
        <v>BRL</v>
      </c>
      <c r="M295" t="str">
        <f t="shared" si="4"/>
        <v>USD</v>
      </c>
      <c r="N295" s="51">
        <f>VLOOKUP($L295,TABLE!$I$3:$O$13,N$2,FALSE)/VLOOKUP($M295,TABLE!$I$3:$O$13,N$2,FALSE)*F295</f>
        <v>0.98208132322536179</v>
      </c>
      <c r="O295" s="51">
        <f>VLOOKUP($L295,TABLE!$I$3:$O$13,O$2,FALSE)/VLOOKUP($M295,TABLE!$I$3:$O$13,O$2,FALSE)*G295</f>
        <v>1.0682991237546515</v>
      </c>
      <c r="P295" s="51">
        <f>VLOOKUP($L295,TABLE!$I$3:$O$13,P$2,FALSE)/VLOOKUP($M295,TABLE!$I$3:$O$13,P$2,FALSE)*H295</f>
        <v>1.7112698581938375</v>
      </c>
      <c r="Q295" s="51">
        <f>VLOOKUP($L295,TABLE!$I$3:$O$13,Q$2,FALSE)/VLOOKUP($M295,TABLE!$I$3:$O$13,Q$2,FALSE)*I295</f>
        <v>1.4974308783949108</v>
      </c>
      <c r="R295" s="51">
        <f>VLOOKUP($L295,TABLE!$I$3:$O$13,R$2,FALSE)/VLOOKUP($M295,TABLE!$I$3:$O$13,R$2,FALSE)*J295</f>
        <v>1.3958849141978997</v>
      </c>
    </row>
    <row r="296" spans="2:18">
      <c r="B296" t="s">
        <v>35</v>
      </c>
      <c r="C296" t="s">
        <v>124</v>
      </c>
      <c r="D296" t="s">
        <v>25</v>
      </c>
      <c r="E296" t="s">
        <v>502</v>
      </c>
      <c r="F296" s="51">
        <v>22</v>
      </c>
      <c r="G296" s="51">
        <v>20.149999999999999</v>
      </c>
      <c r="H296" s="51">
        <v>26.52</v>
      </c>
      <c r="I296" s="51">
        <v>28.8</v>
      </c>
      <c r="J296" s="51">
        <v>32.020000000000003</v>
      </c>
      <c r="L296" t="str">
        <f>VLOOKUP(B296,TABLE!D:E,2,FALSE)</f>
        <v>BRL</v>
      </c>
      <c r="M296" t="str">
        <f t="shared" si="4"/>
        <v>USD</v>
      </c>
      <c r="N296" s="51">
        <f>VLOOKUP($L296,TABLE!$I$3:$O$13,N$2,FALSE)/VLOOKUP($M296,TABLE!$I$3:$O$13,N$2,FALSE)*F296</f>
        <v>12.634964392373076</v>
      </c>
      <c r="O296" s="51">
        <f>VLOOKUP($L296,TABLE!$I$3:$O$13,O$2,FALSE)/VLOOKUP($M296,TABLE!$I$3:$O$13,O$2,FALSE)*G296</f>
        <v>12.093386148121475</v>
      </c>
      <c r="P296" s="51">
        <f>VLOOKUP($L296,TABLE!$I$3:$O$13,P$2,FALSE)/VLOOKUP($M296,TABLE!$I$3:$O$13,P$2,FALSE)*H296</f>
        <v>14.137967800405162</v>
      </c>
      <c r="Q296" s="51">
        <f>VLOOKUP($L296,TABLE!$I$3:$O$13,Q$2,FALSE)/VLOOKUP($M296,TABLE!$I$3:$O$13,Q$2,FALSE)*I296</f>
        <v>14.093467090775631</v>
      </c>
      <c r="R296" s="51">
        <f>VLOOKUP($L296,TABLE!$I$3:$O$13,R$2,FALSE)/VLOOKUP($M296,TABLE!$I$3:$O$13,R$2,FALSE)*J296</f>
        <v>13.668573380005125</v>
      </c>
    </row>
    <row r="297" spans="2:18">
      <c r="B297" t="s">
        <v>35</v>
      </c>
      <c r="C297" t="s">
        <v>124</v>
      </c>
      <c r="D297" t="s">
        <v>30</v>
      </c>
      <c r="E297" t="s">
        <v>503</v>
      </c>
      <c r="F297" s="51">
        <v>26.54</v>
      </c>
      <c r="G297" s="51">
        <v>31.39</v>
      </c>
      <c r="H297" s="51">
        <v>35.409999999999997</v>
      </c>
      <c r="I297" s="51">
        <v>37.979999999999997</v>
      </c>
      <c r="J297" s="51">
        <v>39.86</v>
      </c>
      <c r="L297" t="str">
        <f>VLOOKUP(B297,TABLE!D:E,2,FALSE)</f>
        <v>BRL</v>
      </c>
      <c r="M297" t="str">
        <f t="shared" si="4"/>
        <v>USD</v>
      </c>
      <c r="N297" s="51">
        <f>VLOOKUP($L297,TABLE!$I$3:$O$13,N$2,FALSE)/VLOOKUP($M297,TABLE!$I$3:$O$13,N$2,FALSE)*F297</f>
        <v>15.242361589708247</v>
      </c>
      <c r="O297" s="51">
        <f>VLOOKUP($L297,TABLE!$I$3:$O$13,O$2,FALSE)/VLOOKUP($M297,TABLE!$I$3:$O$13,O$2,FALSE)*G297</f>
        <v>18.839274996999162</v>
      </c>
      <c r="P297" s="51">
        <f>VLOOKUP($L297,TABLE!$I$3:$O$13,P$2,FALSE)/VLOOKUP($M297,TABLE!$I$3:$O$13,P$2,FALSE)*H297</f>
        <v>18.877279027614886</v>
      </c>
      <c r="Q297" s="51">
        <f>VLOOKUP($L297,TABLE!$I$3:$O$13,Q$2,FALSE)/VLOOKUP($M297,TABLE!$I$3:$O$13,Q$2,FALSE)*I297</f>
        <v>18.585759725960362</v>
      </c>
      <c r="R297" s="51">
        <f>VLOOKUP($L297,TABLE!$I$3:$O$13,R$2,FALSE)/VLOOKUP($M297,TABLE!$I$3:$O$13,R$2,FALSE)*J297</f>
        <v>17.015282165115682</v>
      </c>
    </row>
    <row r="298" spans="2:18">
      <c r="B298" t="s">
        <v>35</v>
      </c>
      <c r="C298" t="s">
        <v>124</v>
      </c>
      <c r="D298" t="s">
        <v>34</v>
      </c>
      <c r="E298" t="s">
        <v>504</v>
      </c>
      <c r="F298" s="51">
        <v>4.43</v>
      </c>
      <c r="G298" s="51">
        <v>5.52</v>
      </c>
      <c r="H298" s="51">
        <v>5.1100000000000003</v>
      </c>
      <c r="I298" s="51">
        <v>4.75</v>
      </c>
      <c r="J298" s="51">
        <v>5.13</v>
      </c>
      <c r="L298" t="str">
        <f>VLOOKUP(B298,TABLE!D:E,2,FALSE)</f>
        <v>BRL</v>
      </c>
      <c r="M298" t="str">
        <f t="shared" si="4"/>
        <v>USD</v>
      </c>
      <c r="N298" s="51">
        <f>VLOOKUP($L298,TABLE!$I$3:$O$13,N$2,FALSE)/VLOOKUP($M298,TABLE!$I$3:$O$13,N$2,FALSE)*F298</f>
        <v>2.5442223753733058</v>
      </c>
      <c r="O298" s="51">
        <f>VLOOKUP($L298,TABLE!$I$3:$O$13,O$2,FALSE)/VLOOKUP($M298,TABLE!$I$3:$O$13,O$2,FALSE)*G298</f>
        <v>3.3129276197335256</v>
      </c>
      <c r="P298" s="51">
        <f>VLOOKUP($L298,TABLE!$I$3:$O$13,P$2,FALSE)/VLOOKUP($M298,TABLE!$I$3:$O$13,P$2,FALSE)*H298</f>
        <v>2.7241710203646448</v>
      </c>
      <c r="Q298" s="51">
        <f>VLOOKUP($L298,TABLE!$I$3:$O$13,Q$2,FALSE)/VLOOKUP($M298,TABLE!$I$3:$O$13,Q$2,FALSE)*I298</f>
        <v>2.3244433569855643</v>
      </c>
      <c r="R298" s="51">
        <f>VLOOKUP($L298,TABLE!$I$3:$O$13,R$2,FALSE)/VLOOKUP($M298,TABLE!$I$3:$O$13,R$2,FALSE)*J298</f>
        <v>2.1898744984205583</v>
      </c>
    </row>
    <row r="299" spans="2:18">
      <c r="B299" t="s">
        <v>35</v>
      </c>
      <c r="C299" t="s">
        <v>124</v>
      </c>
      <c r="D299" t="s">
        <v>48</v>
      </c>
      <c r="E299" t="s">
        <v>505</v>
      </c>
      <c r="F299" s="51">
        <v>1.1200000000000001</v>
      </c>
      <c r="G299" s="51">
        <v>2.14</v>
      </c>
      <c r="H299" s="51">
        <v>2.0099999999999998</v>
      </c>
      <c r="I299" s="51">
        <v>1.43</v>
      </c>
      <c r="J299" s="51">
        <v>1.58</v>
      </c>
      <c r="L299" t="str">
        <f>VLOOKUP(B299,TABLE!D:E,2,FALSE)</f>
        <v>BRL</v>
      </c>
      <c r="M299" t="str">
        <f t="shared" si="4"/>
        <v>USD</v>
      </c>
      <c r="N299" s="51">
        <f>VLOOKUP($L299,TABLE!$I$3:$O$13,N$2,FALSE)/VLOOKUP($M299,TABLE!$I$3:$O$13,N$2,FALSE)*F299</f>
        <v>0.64323455088444759</v>
      </c>
      <c r="O299" s="51">
        <f>VLOOKUP($L299,TABLE!$I$3:$O$13,O$2,FALSE)/VLOOKUP($M299,TABLE!$I$3:$O$13,O$2,FALSE)*G299</f>
        <v>1.2843596206937944</v>
      </c>
      <c r="P299" s="51">
        <f>VLOOKUP($L299,TABLE!$I$3:$O$13,P$2,FALSE)/VLOOKUP($M299,TABLE!$I$3:$O$13,P$2,FALSE)*H299</f>
        <v>1.0715428084017486</v>
      </c>
      <c r="Q299" s="51">
        <f>VLOOKUP($L299,TABLE!$I$3:$O$13,Q$2,FALSE)/VLOOKUP($M299,TABLE!$I$3:$O$13,Q$2,FALSE)*I299</f>
        <v>0.69977978957670661</v>
      </c>
      <c r="R299" s="51">
        <f>VLOOKUP($L299,TABLE!$I$3:$O$13,R$2,FALSE)/VLOOKUP($M299,TABLE!$I$3:$O$13,R$2,FALSE)*J299</f>
        <v>0.67446427046871005</v>
      </c>
    </row>
    <row r="300" spans="2:18">
      <c r="B300" t="s">
        <v>35</v>
      </c>
      <c r="C300" t="s">
        <v>124</v>
      </c>
      <c r="D300" t="s">
        <v>50</v>
      </c>
      <c r="E300" t="s">
        <v>506</v>
      </c>
      <c r="F300" s="51">
        <v>3.73</v>
      </c>
      <c r="G300" s="51">
        <v>4.95</v>
      </c>
      <c r="H300" s="51">
        <v>4.3899999999999997</v>
      </c>
      <c r="I300" s="51">
        <v>3.92</v>
      </c>
      <c r="J300" s="51">
        <v>4.28</v>
      </c>
      <c r="L300" t="str">
        <f>VLOOKUP(B300,TABLE!D:E,2,FALSE)</f>
        <v>BRL</v>
      </c>
      <c r="M300" t="str">
        <f t="shared" si="4"/>
        <v>USD</v>
      </c>
      <c r="N300" s="51">
        <f>VLOOKUP($L300,TABLE!$I$3:$O$13,N$2,FALSE)/VLOOKUP($M300,TABLE!$I$3:$O$13,N$2,FALSE)*F300</f>
        <v>2.1422007810705259</v>
      </c>
      <c r="O300" s="51">
        <f>VLOOKUP($L300,TABLE!$I$3:$O$13,O$2,FALSE)/VLOOKUP($M300,TABLE!$I$3:$O$13,O$2,FALSE)*G300</f>
        <v>2.9708318329132162</v>
      </c>
      <c r="P300" s="51">
        <f>VLOOKUP($L300,TABLE!$I$3:$O$13,P$2,FALSE)/VLOOKUP($M300,TABLE!$I$3:$O$13,P$2,FALSE)*H300</f>
        <v>2.3403347904893912</v>
      </c>
      <c r="Q300" s="51">
        <f>VLOOKUP($L300,TABLE!$I$3:$O$13,Q$2,FALSE)/VLOOKUP($M300,TABLE!$I$3:$O$13,Q$2,FALSE)*I300</f>
        <v>1.9182774651333496</v>
      </c>
      <c r="R300" s="51">
        <f>VLOOKUP($L300,TABLE!$I$3:$O$13,R$2,FALSE)/VLOOKUP($M300,TABLE!$I$3:$O$13,R$2,FALSE)*J300</f>
        <v>1.8270297959532145</v>
      </c>
    </row>
    <row r="301" spans="2:18">
      <c r="B301" t="s">
        <v>35</v>
      </c>
      <c r="C301" t="s">
        <v>124</v>
      </c>
      <c r="D301" t="s">
        <v>44</v>
      </c>
      <c r="E301" t="s">
        <v>507</v>
      </c>
      <c r="F301" s="51">
        <v>0.99269000000000007</v>
      </c>
      <c r="G301" s="51">
        <v>0.91959000000000002</v>
      </c>
      <c r="H301" s="51">
        <v>0.82811000000000001</v>
      </c>
      <c r="I301" s="51">
        <v>0.81141999999999992</v>
      </c>
      <c r="J301" s="51">
        <v>0.90127000000000002</v>
      </c>
      <c r="L301" t="str">
        <f>VLOOKUP(B301,TABLE!D:E,2,FALSE)</f>
        <v>BRL</v>
      </c>
      <c r="M301" t="str">
        <f t="shared" si="4"/>
        <v>USD</v>
      </c>
      <c r="N301" s="51">
        <f>VLOOKUP($L301,TABLE!$I$3:$O$13,N$2,FALSE)/VLOOKUP($M301,TABLE!$I$3:$O$13,N$2,FALSE)*F301</f>
        <v>0.57011830921203777</v>
      </c>
      <c r="O301" s="51">
        <f>VLOOKUP($L301,TABLE!$I$3:$O$13,O$2,FALSE)/VLOOKUP($M301,TABLE!$I$3:$O$13,O$2,FALSE)*G301</f>
        <v>0.55190853438962917</v>
      </c>
      <c r="P301" s="51">
        <f>VLOOKUP($L301,TABLE!$I$3:$O$13,P$2,FALSE)/VLOOKUP($M301,TABLE!$I$3:$O$13,P$2,FALSE)*H301</f>
        <v>0.44147030600277221</v>
      </c>
      <c r="Q301" s="51">
        <f>VLOOKUP($L301,TABLE!$I$3:$O$13,Q$2,FALSE)/VLOOKUP($M301,TABLE!$I$3:$O$13,Q$2,FALSE)*I301</f>
        <v>0.3970736481526792</v>
      </c>
      <c r="R301" s="51">
        <f>VLOOKUP($L301,TABLE!$I$3:$O$13,R$2,FALSE)/VLOOKUP($M301,TABLE!$I$3:$O$13,R$2,FALSE)*J301</f>
        <v>0.3847306411679331</v>
      </c>
    </row>
    <row r="302" spans="2:18">
      <c r="B302" t="s">
        <v>35</v>
      </c>
      <c r="C302" t="s">
        <v>124</v>
      </c>
      <c r="D302" t="s">
        <v>42</v>
      </c>
      <c r="E302" t="s">
        <v>508</v>
      </c>
      <c r="F302" s="51">
        <v>0.43624000000000002</v>
      </c>
      <c r="G302" s="51">
        <v>0.29555999999999999</v>
      </c>
      <c r="H302" s="51">
        <v>0.45580000000000004</v>
      </c>
      <c r="I302" s="51">
        <v>0.31661</v>
      </c>
      <c r="J302" s="51">
        <v>0.25186000000000003</v>
      </c>
      <c r="L302" t="str">
        <f>VLOOKUP(B302,TABLE!D:E,2,FALSE)</f>
        <v>BRL</v>
      </c>
      <c r="M302" t="str">
        <f t="shared" si="4"/>
        <v>USD</v>
      </c>
      <c r="N302" s="51">
        <f>VLOOKUP($L302,TABLE!$I$3:$O$13,N$2,FALSE)/VLOOKUP($M302,TABLE!$I$3:$O$13,N$2,FALSE)*F302</f>
        <v>0.25053985756949232</v>
      </c>
      <c r="O302" s="51">
        <f>VLOOKUP($L302,TABLE!$I$3:$O$13,O$2,FALSE)/VLOOKUP($M302,TABLE!$I$3:$O$13,O$2,FALSE)*G302</f>
        <v>0.17738566798703639</v>
      </c>
      <c r="P302" s="51">
        <f>VLOOKUP($L302,TABLE!$I$3:$O$13,P$2,FALSE)/VLOOKUP($M302,TABLE!$I$3:$O$13,P$2,FALSE)*H302</f>
        <v>0.2429896577460284</v>
      </c>
      <c r="Q302" s="51">
        <f>VLOOKUP($L302,TABLE!$I$3:$O$13,Q$2,FALSE)/VLOOKUP($M302,TABLE!$I$3:$O$13,Q$2,FALSE)*I302</f>
        <v>0.15493516026425252</v>
      </c>
      <c r="R302" s="51">
        <f>VLOOKUP($L302,TABLE!$I$3:$O$13,R$2,FALSE)/VLOOKUP($M302,TABLE!$I$3:$O$13,R$2,FALSE)*J302</f>
        <v>0.10751301972167678</v>
      </c>
    </row>
    <row r="303" spans="2:18">
      <c r="B303" t="s">
        <v>35</v>
      </c>
      <c r="C303" t="s">
        <v>124</v>
      </c>
      <c r="D303" t="s">
        <v>145</v>
      </c>
      <c r="E303" t="s">
        <v>509</v>
      </c>
      <c r="F303" s="51"/>
      <c r="G303" s="51"/>
      <c r="H303" s="51"/>
      <c r="I303" s="51"/>
      <c r="J303" s="51"/>
      <c r="L303" t="str">
        <f>VLOOKUP(B303,TABLE!D:E,2,FALSE)</f>
        <v>BRL</v>
      </c>
      <c r="M303" t="str">
        <f t="shared" si="4"/>
        <v>USD</v>
      </c>
      <c r="N303" s="51">
        <f>VLOOKUP($L303,TABLE!$I$3:$O$13,N$2,FALSE)/VLOOKUP($M303,TABLE!$I$3:$O$13,N$2,FALSE)*F303</f>
        <v>0</v>
      </c>
      <c r="O303" s="51">
        <f>VLOOKUP($L303,TABLE!$I$3:$O$13,O$2,FALSE)/VLOOKUP($M303,TABLE!$I$3:$O$13,O$2,FALSE)*G303</f>
        <v>0</v>
      </c>
      <c r="P303" s="51">
        <f>VLOOKUP($L303,TABLE!$I$3:$O$13,P$2,FALSE)/VLOOKUP($M303,TABLE!$I$3:$O$13,P$2,FALSE)*H303</f>
        <v>0</v>
      </c>
      <c r="Q303" s="51">
        <f>VLOOKUP($L303,TABLE!$I$3:$O$13,Q$2,FALSE)/VLOOKUP($M303,TABLE!$I$3:$O$13,Q$2,FALSE)*I303</f>
        <v>0</v>
      </c>
      <c r="R303" s="51">
        <f>VLOOKUP($L303,TABLE!$I$3:$O$13,R$2,FALSE)/VLOOKUP($M303,TABLE!$I$3:$O$13,R$2,FALSE)*J303</f>
        <v>0</v>
      </c>
    </row>
    <row r="304" spans="2:18">
      <c r="B304" t="s">
        <v>35</v>
      </c>
      <c r="C304" t="s">
        <v>124</v>
      </c>
      <c r="D304" t="s">
        <v>36</v>
      </c>
      <c r="E304" t="s">
        <v>510</v>
      </c>
      <c r="F304" s="51">
        <v>2.34</v>
      </c>
      <c r="G304" s="51">
        <v>2.36</v>
      </c>
      <c r="H304" s="51">
        <v>2.4</v>
      </c>
      <c r="I304" s="51">
        <v>2.4700000000000002</v>
      </c>
      <c r="J304" s="51">
        <v>2.61</v>
      </c>
      <c r="L304" t="str">
        <f>VLOOKUP(B304,TABLE!D:E,2,FALSE)</f>
        <v>BRL</v>
      </c>
      <c r="M304" t="str">
        <f t="shared" si="4"/>
        <v>USD</v>
      </c>
      <c r="N304" s="51">
        <f>VLOOKUP($L304,TABLE!$I$3:$O$13,N$2,FALSE)/VLOOKUP($M304,TABLE!$I$3:$O$13,N$2,FALSE)*F304</f>
        <v>1.3439007580978635</v>
      </c>
      <c r="O304" s="51">
        <f>VLOOKUP($L304,TABLE!$I$3:$O$13,O$2,FALSE)/VLOOKUP($M304,TABLE!$I$3:$O$13,O$2,FALSE)*G304</f>
        <v>1.4163965910454928</v>
      </c>
      <c r="P304" s="51">
        <f>VLOOKUP($L304,TABLE!$I$3:$O$13,P$2,FALSE)/VLOOKUP($M304,TABLE!$I$3:$O$13,P$2,FALSE)*H304</f>
        <v>1.2794540995841774</v>
      </c>
      <c r="Q304" s="51">
        <f>VLOOKUP($L304,TABLE!$I$3:$O$13,Q$2,FALSE)/VLOOKUP($M304,TABLE!$I$3:$O$13,Q$2,FALSE)*I304</f>
        <v>1.2087105456324934</v>
      </c>
      <c r="R304" s="51">
        <f>VLOOKUP($L304,TABLE!$I$3:$O$13,R$2,FALSE)/VLOOKUP($M304,TABLE!$I$3:$O$13,R$2,FALSE)*J304</f>
        <v>1.1141466746350208</v>
      </c>
    </row>
    <row r="305" spans="2:18">
      <c r="B305" t="s">
        <v>35</v>
      </c>
      <c r="C305" t="s">
        <v>124</v>
      </c>
      <c r="D305" t="s">
        <v>38</v>
      </c>
      <c r="E305" t="s">
        <v>511</v>
      </c>
      <c r="F305" s="51">
        <v>0</v>
      </c>
      <c r="G305" s="51">
        <v>0</v>
      </c>
      <c r="H305" s="51">
        <v>0</v>
      </c>
      <c r="I305" s="51">
        <v>0</v>
      </c>
      <c r="J305" s="51">
        <v>0</v>
      </c>
      <c r="L305" t="str">
        <f>VLOOKUP(B305,TABLE!D:E,2,FALSE)</f>
        <v>BRL</v>
      </c>
      <c r="M305" t="str">
        <f t="shared" si="4"/>
        <v>USD</v>
      </c>
      <c r="N305" s="51">
        <f>VLOOKUP($L305,TABLE!$I$3:$O$13,N$2,FALSE)/VLOOKUP($M305,TABLE!$I$3:$O$13,N$2,FALSE)*F305</f>
        <v>0</v>
      </c>
      <c r="O305" s="51">
        <f>VLOOKUP($L305,TABLE!$I$3:$O$13,O$2,FALSE)/VLOOKUP($M305,TABLE!$I$3:$O$13,O$2,FALSE)*G305</f>
        <v>0</v>
      </c>
      <c r="P305" s="51">
        <f>VLOOKUP($L305,TABLE!$I$3:$O$13,P$2,FALSE)/VLOOKUP($M305,TABLE!$I$3:$O$13,P$2,FALSE)*H305</f>
        <v>0</v>
      </c>
      <c r="Q305" s="51">
        <f>VLOOKUP($L305,TABLE!$I$3:$O$13,Q$2,FALSE)/VLOOKUP($M305,TABLE!$I$3:$O$13,Q$2,FALSE)*I305</f>
        <v>0</v>
      </c>
      <c r="R305" s="51">
        <f>VLOOKUP($L305,TABLE!$I$3:$O$13,R$2,FALSE)/VLOOKUP($M305,TABLE!$I$3:$O$13,R$2,FALSE)*J305</f>
        <v>0</v>
      </c>
    </row>
    <row r="306" spans="2:18">
      <c r="B306" t="s">
        <v>35</v>
      </c>
      <c r="C306" t="s">
        <v>124</v>
      </c>
      <c r="D306" t="s">
        <v>40</v>
      </c>
      <c r="E306" t="s">
        <v>512</v>
      </c>
      <c r="F306" s="51">
        <v>2.34</v>
      </c>
      <c r="G306" s="51">
        <v>2.36</v>
      </c>
      <c r="H306" s="51">
        <v>2.4</v>
      </c>
      <c r="I306" s="51">
        <v>2.4700000000000002</v>
      </c>
      <c r="J306" s="51">
        <v>2.61</v>
      </c>
      <c r="L306" t="str">
        <f>VLOOKUP(B306,TABLE!D:E,2,FALSE)</f>
        <v>BRL</v>
      </c>
      <c r="M306" t="str">
        <f t="shared" si="4"/>
        <v>USD</v>
      </c>
      <c r="N306" s="51">
        <f>VLOOKUP($L306,TABLE!$I$3:$O$13,N$2,FALSE)/VLOOKUP($M306,TABLE!$I$3:$O$13,N$2,FALSE)*F306</f>
        <v>1.3439007580978635</v>
      </c>
      <c r="O306" s="51">
        <f>VLOOKUP($L306,TABLE!$I$3:$O$13,O$2,FALSE)/VLOOKUP($M306,TABLE!$I$3:$O$13,O$2,FALSE)*G306</f>
        <v>1.4163965910454928</v>
      </c>
      <c r="P306" s="51">
        <f>VLOOKUP($L306,TABLE!$I$3:$O$13,P$2,FALSE)/VLOOKUP($M306,TABLE!$I$3:$O$13,P$2,FALSE)*H306</f>
        <v>1.2794540995841774</v>
      </c>
      <c r="Q306" s="51">
        <f>VLOOKUP($L306,TABLE!$I$3:$O$13,Q$2,FALSE)/VLOOKUP($M306,TABLE!$I$3:$O$13,Q$2,FALSE)*I306</f>
        <v>1.2087105456324934</v>
      </c>
      <c r="R306" s="51">
        <f>VLOOKUP($L306,TABLE!$I$3:$O$13,R$2,FALSE)/VLOOKUP($M306,TABLE!$I$3:$O$13,R$2,FALSE)*J306</f>
        <v>1.1141466746350208</v>
      </c>
    </row>
    <row r="307" spans="2:18">
      <c r="B307" t="s">
        <v>35</v>
      </c>
      <c r="C307" t="s">
        <v>124</v>
      </c>
      <c r="D307" t="s">
        <v>46</v>
      </c>
      <c r="E307" t="s">
        <v>513</v>
      </c>
      <c r="F307" s="51">
        <v>1.03</v>
      </c>
      <c r="G307" s="51">
        <v>2.96</v>
      </c>
      <c r="H307" s="51">
        <v>2.29</v>
      </c>
      <c r="I307" s="51">
        <v>1.55</v>
      </c>
      <c r="J307" s="51">
        <v>1.4</v>
      </c>
      <c r="L307" t="str">
        <f>VLOOKUP(B307,TABLE!D:E,2,FALSE)</f>
        <v>BRL</v>
      </c>
      <c r="M307" t="str">
        <f t="shared" si="4"/>
        <v>USD</v>
      </c>
      <c r="N307" s="51">
        <f>VLOOKUP($L307,TABLE!$I$3:$O$13,N$2,FALSE)/VLOOKUP($M307,TABLE!$I$3:$O$13,N$2,FALSE)*F307</f>
        <v>0.59154606018837586</v>
      </c>
      <c r="O307" s="51">
        <f>VLOOKUP($L307,TABLE!$I$3:$O$13,O$2,FALSE)/VLOOKUP($M307,TABLE!$I$3:$O$13,O$2,FALSE)*G307</f>
        <v>1.7764974192773979</v>
      </c>
      <c r="P307" s="51">
        <f>VLOOKUP($L307,TABLE!$I$3:$O$13,P$2,FALSE)/VLOOKUP($M307,TABLE!$I$3:$O$13,P$2,FALSE)*H307</f>
        <v>1.2208124533532361</v>
      </c>
      <c r="Q307" s="51">
        <f>VLOOKUP($L307,TABLE!$I$3:$O$13,Q$2,FALSE)/VLOOKUP($M307,TABLE!$I$3:$O$13,Q$2,FALSE)*I307</f>
        <v>0.75850256912160519</v>
      </c>
      <c r="R307" s="51">
        <f>VLOOKUP($L307,TABLE!$I$3:$O$13,R$2,FALSE)/VLOOKUP($M307,TABLE!$I$3:$O$13,R$2,FALSE)*J307</f>
        <v>0.59762656876974296</v>
      </c>
    </row>
    <row r="308" spans="2:18">
      <c r="B308" t="s">
        <v>37</v>
      </c>
      <c r="C308" t="s">
        <v>124</v>
      </c>
      <c r="D308" t="s">
        <v>9</v>
      </c>
      <c r="E308" t="s">
        <v>514</v>
      </c>
      <c r="F308" s="51">
        <v>4.1900000000000004</v>
      </c>
      <c r="G308" s="51">
        <v>5.08</v>
      </c>
      <c r="H308" s="51">
        <v>3.19</v>
      </c>
      <c r="I308" s="51">
        <v>3.66</v>
      </c>
      <c r="J308" s="51">
        <v>4.57</v>
      </c>
      <c r="L308" t="str">
        <f>VLOOKUP(B308,TABLE!D:E,2,FALSE)</f>
        <v>EUR</v>
      </c>
      <c r="M308" t="str">
        <f t="shared" si="4"/>
        <v>USD</v>
      </c>
      <c r="N308" s="51">
        <f>VLOOKUP($L308,TABLE!$I$3:$O$13,N$2,FALSE)/VLOOKUP($M308,TABLE!$I$3:$O$13,N$2,FALSE)*F308</f>
        <v>6.0336048127728006</v>
      </c>
      <c r="O308" s="51">
        <f>VLOOKUP($L308,TABLE!$I$3:$O$13,O$2,FALSE)/VLOOKUP($M308,TABLE!$I$3:$O$13,O$2,FALSE)*G308</f>
        <v>6.7928459968791275</v>
      </c>
      <c r="P308" s="51">
        <f>VLOOKUP($L308,TABLE!$I$3:$O$13,P$2,FALSE)/VLOOKUP($M308,TABLE!$I$3:$O$13,P$2,FALSE)*H308</f>
        <v>4.1396193624053739</v>
      </c>
      <c r="Q308" s="51">
        <f>VLOOKUP($L308,TABLE!$I$3:$O$13,Q$2,FALSE)/VLOOKUP($M308,TABLE!$I$3:$O$13,Q$2,FALSE)*I308</f>
        <v>4.8275820895522381</v>
      </c>
      <c r="R308" s="51">
        <f>VLOOKUP($L308,TABLE!$I$3:$O$13,R$2,FALSE)/VLOOKUP($M308,TABLE!$I$3:$O$13,R$2,FALSE)*J308</f>
        <v>6.294333219499701</v>
      </c>
    </row>
    <row r="309" spans="2:18">
      <c r="B309" t="s">
        <v>37</v>
      </c>
      <c r="C309" t="s">
        <v>124</v>
      </c>
      <c r="D309" t="s">
        <v>11</v>
      </c>
      <c r="E309" t="s">
        <v>515</v>
      </c>
      <c r="F309" s="51">
        <v>4.01</v>
      </c>
      <c r="G309" s="51">
        <v>4.2699999999999996</v>
      </c>
      <c r="H309" s="51">
        <v>4.97</v>
      </c>
      <c r="I309" s="51">
        <v>3.86</v>
      </c>
      <c r="J309" s="51">
        <v>3.55</v>
      </c>
      <c r="L309" t="str">
        <f>VLOOKUP(B309,TABLE!D:E,2,FALSE)</f>
        <v>EUR</v>
      </c>
      <c r="M309" t="str">
        <f t="shared" si="4"/>
        <v>USD</v>
      </c>
      <c r="N309" s="51">
        <f>VLOOKUP($L309,TABLE!$I$3:$O$13,N$2,FALSE)/VLOOKUP($M309,TABLE!$I$3:$O$13,N$2,FALSE)*F309</f>
        <v>5.7744046060188374</v>
      </c>
      <c r="O309" s="51">
        <f>VLOOKUP($L309,TABLE!$I$3:$O$13,O$2,FALSE)/VLOOKUP($M309,TABLE!$I$3:$O$13,O$2,FALSE)*G309</f>
        <v>5.7097347257232034</v>
      </c>
      <c r="P309" s="51">
        <f>VLOOKUP($L309,TABLE!$I$3:$O$13,P$2,FALSE)/VLOOKUP($M309,TABLE!$I$3:$O$13,P$2,FALSE)*H309</f>
        <v>6.4495010129011625</v>
      </c>
      <c r="Q309" s="51">
        <f>VLOOKUP($L309,TABLE!$I$3:$O$13,Q$2,FALSE)/VLOOKUP($M309,TABLE!$I$3:$O$13,Q$2,FALSE)*I309</f>
        <v>5.0913843895277706</v>
      </c>
      <c r="R309" s="51">
        <f>VLOOKUP($L309,TABLE!$I$3:$O$13,R$2,FALSE)/VLOOKUP($M309,TABLE!$I$3:$O$13,R$2,FALSE)*J309</f>
        <v>4.889471100486638</v>
      </c>
    </row>
    <row r="310" spans="2:18">
      <c r="B310" t="s">
        <v>37</v>
      </c>
      <c r="C310" t="s">
        <v>124</v>
      </c>
      <c r="D310" t="s">
        <v>13</v>
      </c>
      <c r="E310" t="s">
        <v>516</v>
      </c>
      <c r="F310" s="51">
        <v>11.73</v>
      </c>
      <c r="G310" s="51">
        <v>14.6</v>
      </c>
      <c r="H310" s="51">
        <v>16.71</v>
      </c>
      <c r="I310" s="51">
        <v>14.41</v>
      </c>
      <c r="J310" s="51">
        <v>13.96</v>
      </c>
      <c r="L310" t="str">
        <f>VLOOKUP(B310,TABLE!D:E,2,FALSE)</f>
        <v>EUR</v>
      </c>
      <c r="M310" t="str">
        <f t="shared" si="4"/>
        <v>USD</v>
      </c>
      <c r="N310" s="51">
        <f>VLOOKUP($L310,TABLE!$I$3:$O$13,N$2,FALSE)/VLOOKUP($M310,TABLE!$I$3:$O$13,N$2,FALSE)*F310</f>
        <v>16.891213473466575</v>
      </c>
      <c r="O310" s="51">
        <f>VLOOKUP($L310,TABLE!$I$3:$O$13,O$2,FALSE)/VLOOKUP($M310,TABLE!$I$3:$O$13,O$2,FALSE)*G310</f>
        <v>19.52274636898332</v>
      </c>
      <c r="P310" s="51">
        <f>VLOOKUP($L310,TABLE!$I$3:$O$13,P$2,FALSE)/VLOOKUP($M310,TABLE!$I$3:$O$13,P$2,FALSE)*H310</f>
        <v>21.684338415609343</v>
      </c>
      <c r="Q310" s="51">
        <f>VLOOKUP($L310,TABLE!$I$3:$O$13,Q$2,FALSE)/VLOOKUP($M310,TABLE!$I$3:$O$13,Q$2,FALSE)*I310</f>
        <v>19.00695571323709</v>
      </c>
      <c r="R310" s="51">
        <f>VLOOKUP($L310,TABLE!$I$3:$O$13,R$2,FALSE)/VLOOKUP($M310,TABLE!$I$3:$O$13,R$2,FALSE)*J310</f>
        <v>19.227328609237599</v>
      </c>
    </row>
    <row r="311" spans="2:18">
      <c r="B311" t="s">
        <v>37</v>
      </c>
      <c r="C311" t="s">
        <v>124</v>
      </c>
      <c r="D311" t="s">
        <v>15</v>
      </c>
      <c r="E311" t="s">
        <v>517</v>
      </c>
      <c r="F311" s="51">
        <v>22.87</v>
      </c>
      <c r="G311" s="51">
        <v>31.81</v>
      </c>
      <c r="H311" s="51">
        <v>27.43</v>
      </c>
      <c r="I311" s="51">
        <v>24.23</v>
      </c>
      <c r="J311" s="51">
        <v>24.78</v>
      </c>
      <c r="L311" t="str">
        <f>VLOOKUP(B311,TABLE!D:E,2,FALSE)</f>
        <v>EUR</v>
      </c>
      <c r="M311" t="str">
        <f t="shared" si="4"/>
        <v>USD</v>
      </c>
      <c r="N311" s="51">
        <f>VLOOKUP($L311,TABLE!$I$3:$O$13,N$2,FALSE)/VLOOKUP($M311,TABLE!$I$3:$O$13,N$2,FALSE)*F311</f>
        <v>32.932826269239605</v>
      </c>
      <c r="O311" s="51">
        <f>VLOOKUP($L311,TABLE!$I$3:$O$13,O$2,FALSE)/VLOOKUP($M311,TABLE!$I$3:$O$13,O$2,FALSE)*G311</f>
        <v>42.535517945024615</v>
      </c>
      <c r="P311" s="51">
        <f>VLOOKUP($L311,TABLE!$I$3:$O$13,P$2,FALSE)/VLOOKUP($M311,TABLE!$I$3:$O$13,P$2,FALSE)*H311</f>
        <v>35.595535771404201</v>
      </c>
      <c r="Q311" s="51">
        <f>VLOOKUP($L311,TABLE!$I$3:$O$13,Q$2,FALSE)/VLOOKUP($M311,TABLE!$I$3:$O$13,Q$2,FALSE)*I311</f>
        <v>31.95964864203572</v>
      </c>
      <c r="R311" s="51">
        <f>VLOOKUP($L311,TABLE!$I$3:$O$13,R$2,FALSE)/VLOOKUP($M311,TABLE!$I$3:$O$13,R$2,FALSE)*J311</f>
        <v>34.129885597199696</v>
      </c>
    </row>
    <row r="312" spans="2:18">
      <c r="B312" t="s">
        <v>37</v>
      </c>
      <c r="C312" t="s">
        <v>124</v>
      </c>
      <c r="D312" t="s">
        <v>18</v>
      </c>
      <c r="E312" t="s">
        <v>518</v>
      </c>
      <c r="F312" s="51">
        <v>89</v>
      </c>
      <c r="G312" s="51">
        <v>97.58</v>
      </c>
      <c r="H312" s="51">
        <v>93.89</v>
      </c>
      <c r="I312" s="51">
        <v>86.47</v>
      </c>
      <c r="J312" s="51">
        <v>81.5</v>
      </c>
      <c r="L312" t="str">
        <f>VLOOKUP(B312,TABLE!D:E,2,FALSE)</f>
        <v>EUR</v>
      </c>
      <c r="M312" t="str">
        <f t="shared" si="4"/>
        <v>USD</v>
      </c>
      <c r="N312" s="51">
        <f>VLOOKUP($L312,TABLE!$I$3:$O$13,N$2,FALSE)/VLOOKUP($M312,TABLE!$I$3:$O$13,N$2,FALSE)*F312</f>
        <v>128.16010222834825</v>
      </c>
      <c r="O312" s="51">
        <f>VLOOKUP($L312,TABLE!$I$3:$O$13,O$2,FALSE)/VLOOKUP($M312,TABLE!$I$3:$O$13,O$2,FALSE)*G312</f>
        <v>130.48147881406797</v>
      </c>
      <c r="P312" s="51">
        <f>VLOOKUP($L312,TABLE!$I$3:$O$13,P$2,FALSE)/VLOOKUP($M312,TABLE!$I$3:$O$13,P$2,FALSE)*H312</f>
        <v>121.83976863205034</v>
      </c>
      <c r="Q312" s="51">
        <f>VLOOKUP($L312,TABLE!$I$3:$O$13,Q$2,FALSE)/VLOOKUP($M312,TABLE!$I$3:$O$13,Q$2,FALSE)*I312</f>
        <v>114.05492439442132</v>
      </c>
      <c r="R312" s="51">
        <f>VLOOKUP($L312,TABLE!$I$3:$O$13,R$2,FALSE)/VLOOKUP($M312,TABLE!$I$3:$O$13,R$2,FALSE)*J312</f>
        <v>112.25123794074959</v>
      </c>
    </row>
    <row r="313" spans="2:18">
      <c r="B313" t="s">
        <v>37</v>
      </c>
      <c r="C313" t="s">
        <v>124</v>
      </c>
      <c r="D313" t="s">
        <v>21</v>
      </c>
      <c r="E313" t="s">
        <v>519</v>
      </c>
      <c r="F313" s="51">
        <v>16.37</v>
      </c>
      <c r="G313" s="51">
        <v>22.9</v>
      </c>
      <c r="H313" s="51">
        <v>18.350000000000001</v>
      </c>
      <c r="I313" s="51">
        <v>18.079999999999998</v>
      </c>
      <c r="J313" s="51">
        <v>18.309999999999999</v>
      </c>
      <c r="L313" t="str">
        <f>VLOOKUP(B313,TABLE!D:E,2,FALSE)</f>
        <v>EUR</v>
      </c>
      <c r="M313" t="str">
        <f t="shared" si="4"/>
        <v>USD</v>
      </c>
      <c r="N313" s="51">
        <f>VLOOKUP($L313,TABLE!$I$3:$O$13,N$2,FALSE)/VLOOKUP($M313,TABLE!$I$3:$O$13,N$2,FALSE)*F313</f>
        <v>23.572818803124282</v>
      </c>
      <c r="O313" s="51">
        <f>VLOOKUP($L313,TABLE!$I$3:$O$13,O$2,FALSE)/VLOOKUP($M313,TABLE!$I$3:$O$13,O$2,FALSE)*G313</f>
        <v>30.621293962309451</v>
      </c>
      <c r="P313" s="51">
        <f>VLOOKUP($L313,TABLE!$I$3:$O$13,P$2,FALSE)/VLOOKUP($M313,TABLE!$I$3:$O$13,P$2,FALSE)*H313</f>
        <v>23.812543981234676</v>
      </c>
      <c r="Q313" s="51">
        <f>VLOOKUP($L313,TABLE!$I$3:$O$13,Q$2,FALSE)/VLOOKUP($M313,TABLE!$I$3:$O$13,Q$2,FALSE)*I313</f>
        <v>23.847727917788106</v>
      </c>
      <c r="R313" s="51">
        <f>VLOOKUP($L313,TABLE!$I$3:$O$13,R$2,FALSE)/VLOOKUP($M313,TABLE!$I$3:$O$13,R$2,FALSE)*J313</f>
        <v>25.218652352087421</v>
      </c>
    </row>
    <row r="314" spans="2:18">
      <c r="B314" t="s">
        <v>37</v>
      </c>
      <c r="C314" t="s">
        <v>124</v>
      </c>
      <c r="D314" t="s">
        <v>20</v>
      </c>
      <c r="E314" t="s">
        <v>520</v>
      </c>
      <c r="F314" s="51">
        <v>7.44</v>
      </c>
      <c r="G314" s="51">
        <v>9.8800000000000008</v>
      </c>
      <c r="H314" s="51">
        <v>9.89</v>
      </c>
      <c r="I314" s="51">
        <v>8.65</v>
      </c>
      <c r="J314" s="51">
        <v>9.15</v>
      </c>
      <c r="L314" t="str">
        <f>VLOOKUP(B314,TABLE!D:E,2,FALSE)</f>
        <v>EUR</v>
      </c>
      <c r="M314" t="str">
        <f t="shared" si="4"/>
        <v>USD</v>
      </c>
      <c r="N314" s="51">
        <f>VLOOKUP($L314,TABLE!$I$3:$O$13,N$2,FALSE)/VLOOKUP($M314,TABLE!$I$3:$O$13,N$2,FALSE)*F314</f>
        <v>10.713608545830462</v>
      </c>
      <c r="O314" s="51">
        <f>VLOOKUP($L314,TABLE!$I$3:$O$13,O$2,FALSE)/VLOOKUP($M314,TABLE!$I$3:$O$13,O$2,FALSE)*G314</f>
        <v>13.211283159284603</v>
      </c>
      <c r="P314" s="51">
        <f>VLOOKUP($L314,TABLE!$I$3:$O$13,P$2,FALSE)/VLOOKUP($M314,TABLE!$I$3:$O$13,P$2,FALSE)*H314</f>
        <v>12.834117709777164</v>
      </c>
      <c r="Q314" s="51">
        <f>VLOOKUP($L314,TABLE!$I$3:$O$13,Q$2,FALSE)/VLOOKUP($M314,TABLE!$I$3:$O$13,Q$2,FALSE)*I314</f>
        <v>11.409449473941766</v>
      </c>
      <c r="R314" s="51">
        <f>VLOOKUP($L314,TABLE!$I$3:$O$13,R$2,FALSE)/VLOOKUP($M314,TABLE!$I$3:$O$13,R$2,FALSE)*J314</f>
        <v>12.602439597028942</v>
      </c>
    </row>
    <row r="315" spans="2:18">
      <c r="B315" t="s">
        <v>37</v>
      </c>
      <c r="C315" t="s">
        <v>124</v>
      </c>
      <c r="D315" t="s">
        <v>25</v>
      </c>
      <c r="E315" t="s">
        <v>521</v>
      </c>
      <c r="F315" s="51">
        <v>45.61</v>
      </c>
      <c r="G315" s="51">
        <v>49.27</v>
      </c>
      <c r="H315" s="51">
        <v>46.59</v>
      </c>
      <c r="I315" s="51">
        <v>38.28</v>
      </c>
      <c r="J315" s="51">
        <v>38.590000000000003</v>
      </c>
      <c r="L315" t="str">
        <f>VLOOKUP(B315,TABLE!D:E,2,FALSE)</f>
        <v>EUR</v>
      </c>
      <c r="M315" t="str">
        <f t="shared" si="4"/>
        <v>USD</v>
      </c>
      <c r="N315" s="51">
        <f>VLOOKUP($L315,TABLE!$I$3:$O$13,N$2,FALSE)/VLOOKUP($M315,TABLE!$I$3:$O$13,N$2,FALSE)*F315</f>
        <v>65.678452389156902</v>
      </c>
      <c r="O315" s="51">
        <f>VLOOKUP($L315,TABLE!$I$3:$O$13,O$2,FALSE)/VLOOKUP($M315,TABLE!$I$3:$O$13,O$2,FALSE)*G315</f>
        <v>65.882583123274529</v>
      </c>
      <c r="P315" s="51">
        <f>VLOOKUP($L315,TABLE!$I$3:$O$13,P$2,FALSE)/VLOOKUP($M315,TABLE!$I$3:$O$13,P$2,FALSE)*H315</f>
        <v>60.459205672246519</v>
      </c>
      <c r="Q315" s="51">
        <f>VLOOKUP($L315,TABLE!$I$3:$O$13,Q$2,FALSE)/VLOOKUP($M315,TABLE!$I$3:$O$13,Q$2,FALSE)*I315</f>
        <v>50.491760215316852</v>
      </c>
      <c r="R315" s="51">
        <f>VLOOKUP($L315,TABLE!$I$3:$O$13,R$2,FALSE)/VLOOKUP($M315,TABLE!$I$3:$O$13,R$2,FALSE)*J315</f>
        <v>53.1506168359942</v>
      </c>
    </row>
    <row r="316" spans="2:18">
      <c r="B316" t="s">
        <v>37</v>
      </c>
      <c r="C316" t="s">
        <v>124</v>
      </c>
      <c r="D316" t="s">
        <v>30</v>
      </c>
      <c r="E316" t="s">
        <v>522</v>
      </c>
      <c r="F316" s="51">
        <v>43.89</v>
      </c>
      <c r="G316" s="51">
        <v>58.96</v>
      </c>
      <c r="H316" s="51">
        <v>67.569999999999993</v>
      </c>
      <c r="I316" s="51">
        <v>65.56</v>
      </c>
      <c r="J316" s="51">
        <v>59.84</v>
      </c>
      <c r="L316" t="str">
        <f>VLOOKUP(B316,TABLE!D:E,2,FALSE)</f>
        <v>EUR</v>
      </c>
      <c r="M316" t="str">
        <f t="shared" si="4"/>
        <v>USD</v>
      </c>
      <c r="N316" s="51">
        <f>VLOOKUP($L316,TABLE!$I$3:$O$13,N$2,FALSE)/VLOOKUP($M316,TABLE!$I$3:$O$13,N$2,FALSE)*F316</f>
        <v>63.201650413507927</v>
      </c>
      <c r="O316" s="51">
        <f>VLOOKUP($L316,TABLE!$I$3:$O$13,O$2,FALSE)/VLOOKUP($M316,TABLE!$I$3:$O$13,O$2,FALSE)*G316</f>
        <v>78.839803144880577</v>
      </c>
      <c r="P316" s="51">
        <f>VLOOKUP($L316,TABLE!$I$3:$O$13,P$2,FALSE)/VLOOKUP($M316,TABLE!$I$3:$O$13,P$2,FALSE)*H316</f>
        <v>87.684664676404736</v>
      </c>
      <c r="Q316" s="51">
        <f>VLOOKUP($L316,TABLE!$I$3:$O$13,Q$2,FALSE)/VLOOKUP($M316,TABLE!$I$3:$O$13,Q$2,FALSE)*I316</f>
        <v>86.474393931979435</v>
      </c>
      <c r="R316" s="51">
        <f>VLOOKUP($L316,TABLE!$I$3:$O$13,R$2,FALSE)/VLOOKUP($M316,TABLE!$I$3:$O$13,R$2,FALSE)*J316</f>
        <v>82.41857764876633</v>
      </c>
    </row>
    <row r="317" spans="2:18">
      <c r="B317" t="s">
        <v>37</v>
      </c>
      <c r="C317" t="s">
        <v>124</v>
      </c>
      <c r="D317" t="s">
        <v>34</v>
      </c>
      <c r="E317" t="s">
        <v>523</v>
      </c>
      <c r="F317" s="51">
        <v>1.99</v>
      </c>
      <c r="G317" s="51">
        <v>5.64</v>
      </c>
      <c r="H317" s="51">
        <v>6.32</v>
      </c>
      <c r="I317" s="51">
        <v>0.52161999999999997</v>
      </c>
      <c r="J317" s="51">
        <v>3.16</v>
      </c>
      <c r="L317" t="str">
        <f>VLOOKUP(B317,TABLE!D:E,2,FALSE)</f>
        <v>EUR</v>
      </c>
      <c r="M317" t="str">
        <f t="shared" si="4"/>
        <v>USD</v>
      </c>
      <c r="N317" s="51">
        <f>VLOOKUP($L317,TABLE!$I$3:$O$13,N$2,FALSE)/VLOOKUP($M317,TABLE!$I$3:$O$13,N$2,FALSE)*F317</f>
        <v>2.8656022857799219</v>
      </c>
      <c r="O317" s="51">
        <f>VLOOKUP($L317,TABLE!$I$3:$O$13,O$2,FALSE)/VLOOKUP($M317,TABLE!$I$3:$O$13,O$2,FALSE)*G317</f>
        <v>7.5416636658264329</v>
      </c>
      <c r="P317" s="51">
        <f>VLOOKUP($L317,TABLE!$I$3:$O$13,P$2,FALSE)/VLOOKUP($M317,TABLE!$I$3:$O$13,P$2,FALSE)*H317</f>
        <v>8.201377545580554</v>
      </c>
      <c r="Q317" s="51">
        <f>VLOOKUP($L317,TABLE!$I$3:$O$13,Q$2,FALSE)/VLOOKUP($M317,TABLE!$I$3:$O$13,Q$2,FALSE)*I317</f>
        <v>0.68802277856618532</v>
      </c>
      <c r="R317" s="51">
        <f>VLOOKUP($L317,TABLE!$I$3:$O$13,R$2,FALSE)/VLOOKUP($M317,TABLE!$I$3:$O$13,R$2,FALSE)*J317</f>
        <v>4.3523179373345853</v>
      </c>
    </row>
    <row r="318" spans="2:18">
      <c r="B318" t="s">
        <v>37</v>
      </c>
      <c r="C318" t="s">
        <v>124</v>
      </c>
      <c r="D318" t="s">
        <v>48</v>
      </c>
      <c r="E318" t="s">
        <v>524</v>
      </c>
      <c r="F318" s="51">
        <v>0.15390999999999999</v>
      </c>
      <c r="G318" s="51">
        <v>2.4500000000000002</v>
      </c>
      <c r="H318" s="51">
        <v>1.3</v>
      </c>
      <c r="I318" s="51">
        <v>-2.61</v>
      </c>
      <c r="J318" s="51">
        <v>-1.92</v>
      </c>
      <c r="L318" t="str">
        <f>VLOOKUP(B318,TABLE!D:E,2,FALSE)</f>
        <v>EUR</v>
      </c>
      <c r="M318" t="str">
        <f t="shared" si="4"/>
        <v>USD</v>
      </c>
      <c r="N318" s="51">
        <f>VLOOKUP($L318,TABLE!$I$3:$O$13,N$2,FALSE)/VLOOKUP($M318,TABLE!$I$3:$O$13,N$2,FALSE)*F318</f>
        <v>0.22163057678612449</v>
      </c>
      <c r="O318" s="51">
        <f>VLOOKUP($L318,TABLE!$I$3:$O$13,O$2,FALSE)/VLOOKUP($M318,TABLE!$I$3:$O$13,O$2,FALSE)*G318</f>
        <v>3.2760773016444613</v>
      </c>
      <c r="P318" s="51">
        <f>VLOOKUP($L318,TABLE!$I$3:$O$13,P$2,FALSE)/VLOOKUP($M318,TABLE!$I$3:$O$13,P$2,FALSE)*H318</f>
        <v>1.6869922166542277</v>
      </c>
      <c r="Q318" s="51">
        <f>VLOOKUP($L318,TABLE!$I$3:$O$13,Q$2,FALSE)/VLOOKUP($M318,TABLE!$I$3:$O$13,Q$2,FALSE)*I318</f>
        <v>-3.4426200146806942</v>
      </c>
      <c r="R318" s="51">
        <f>VLOOKUP($L318,TABLE!$I$3:$O$13,R$2,FALSE)/VLOOKUP($M318,TABLE!$I$3:$O$13,R$2,FALSE)*J318</f>
        <v>-2.6444463416716468</v>
      </c>
    </row>
    <row r="319" spans="2:18">
      <c r="B319" t="s">
        <v>37</v>
      </c>
      <c r="C319" t="s">
        <v>124</v>
      </c>
      <c r="D319" t="s">
        <v>50</v>
      </c>
      <c r="E319" t="s">
        <v>525</v>
      </c>
      <c r="F319" s="51">
        <v>2.96</v>
      </c>
      <c r="G319" s="51">
        <v>6.44</v>
      </c>
      <c r="H319" s="51">
        <v>7.27</v>
      </c>
      <c r="I319" s="51">
        <v>2.06</v>
      </c>
      <c r="J319" s="51">
        <v>4.4400000000000004</v>
      </c>
      <c r="L319" t="str">
        <f>VLOOKUP(B319,TABLE!D:E,2,FALSE)</f>
        <v>EUR</v>
      </c>
      <c r="M319" t="str">
        <f t="shared" si="4"/>
        <v>USD</v>
      </c>
      <c r="N319" s="51">
        <f>VLOOKUP($L319,TABLE!$I$3:$O$13,N$2,FALSE)/VLOOKUP($M319,TABLE!$I$3:$O$13,N$2,FALSE)*F319</f>
        <v>4.2624033999540547</v>
      </c>
      <c r="O319" s="51">
        <f>VLOOKUP($L319,TABLE!$I$3:$O$13,O$2,FALSE)/VLOOKUP($M319,TABLE!$I$3:$O$13,O$2,FALSE)*G319</f>
        <v>8.6114031928940129</v>
      </c>
      <c r="P319" s="51">
        <f>VLOOKUP($L319,TABLE!$I$3:$O$13,P$2,FALSE)/VLOOKUP($M319,TABLE!$I$3:$O$13,P$2,FALSE)*H319</f>
        <v>9.4341795500586425</v>
      </c>
      <c r="Q319" s="51">
        <f>VLOOKUP($L319,TABLE!$I$3:$O$13,Q$2,FALSE)/VLOOKUP($M319,TABLE!$I$3:$O$13,Q$2,FALSE)*I319</f>
        <v>2.7171636897479812</v>
      </c>
      <c r="R319" s="51">
        <f>VLOOKUP($L319,TABLE!$I$3:$O$13,R$2,FALSE)/VLOOKUP($M319,TABLE!$I$3:$O$13,R$2,FALSE)*J319</f>
        <v>6.1152821651156835</v>
      </c>
    </row>
    <row r="320" spans="2:18">
      <c r="B320" t="s">
        <v>37</v>
      </c>
      <c r="C320" t="s">
        <v>124</v>
      </c>
      <c r="D320" t="s">
        <v>44</v>
      </c>
      <c r="E320" t="s">
        <v>526</v>
      </c>
      <c r="F320" s="51">
        <v>1.2</v>
      </c>
      <c r="G320" s="51">
        <v>1.19</v>
      </c>
      <c r="H320" s="51">
        <v>1.4</v>
      </c>
      <c r="I320" s="51">
        <v>1.58</v>
      </c>
      <c r="J320" s="51">
        <v>1.42</v>
      </c>
      <c r="L320" t="str">
        <f>VLOOKUP(B320,TABLE!D:E,2,FALSE)</f>
        <v>EUR</v>
      </c>
      <c r="M320" t="str">
        <f t="shared" si="4"/>
        <v>USD</v>
      </c>
      <c r="N320" s="51">
        <f>VLOOKUP($L320,TABLE!$I$3:$O$13,N$2,FALSE)/VLOOKUP($M320,TABLE!$I$3:$O$13,N$2,FALSE)*F320</f>
        <v>1.7280013783597519</v>
      </c>
      <c r="O320" s="51">
        <f>VLOOKUP($L320,TABLE!$I$3:$O$13,O$2,FALSE)/VLOOKUP($M320,TABLE!$I$3:$O$13,O$2,FALSE)*G320</f>
        <v>1.591237546513024</v>
      </c>
      <c r="P320" s="51">
        <f>VLOOKUP($L320,TABLE!$I$3:$O$13,P$2,FALSE)/VLOOKUP($M320,TABLE!$I$3:$O$13,P$2,FALSE)*H320</f>
        <v>1.8167608487045528</v>
      </c>
      <c r="Q320" s="51">
        <f>VLOOKUP($L320,TABLE!$I$3:$O$13,Q$2,FALSE)/VLOOKUP($M320,TABLE!$I$3:$O$13,Q$2,FALSE)*I320</f>
        <v>2.0840381698067039</v>
      </c>
      <c r="R320" s="51">
        <f>VLOOKUP($L320,TABLE!$I$3:$O$13,R$2,FALSE)/VLOOKUP($M320,TABLE!$I$3:$O$13,R$2,FALSE)*J320</f>
        <v>1.9557884401946553</v>
      </c>
    </row>
    <row r="321" spans="2:18">
      <c r="B321" t="s">
        <v>37</v>
      </c>
      <c r="C321" t="s">
        <v>124</v>
      </c>
      <c r="D321" t="s">
        <v>42</v>
      </c>
      <c r="E321" t="s">
        <v>527</v>
      </c>
      <c r="F321" s="51">
        <v>0.12586</v>
      </c>
      <c r="G321" s="51">
        <v>0.10051</v>
      </c>
      <c r="H321" s="51">
        <v>8.8439999999999991E-2</v>
      </c>
      <c r="I321" s="51">
        <v>0.12223000000000001</v>
      </c>
      <c r="J321" s="51">
        <v>8.5110000000000005E-2</v>
      </c>
      <c r="L321" t="str">
        <f>VLOOKUP(B321,TABLE!D:E,2,FALSE)</f>
        <v>EUR</v>
      </c>
      <c r="M321" t="str">
        <f t="shared" si="4"/>
        <v>USD</v>
      </c>
      <c r="N321" s="51">
        <f>VLOOKUP($L321,TABLE!$I$3:$O$13,N$2,FALSE)/VLOOKUP($M321,TABLE!$I$3:$O$13,N$2,FALSE)*F321</f>
        <v>0.18123854456696531</v>
      </c>
      <c r="O321" s="51">
        <f>VLOOKUP($L321,TABLE!$I$3:$O$13,O$2,FALSE)/VLOOKUP($M321,TABLE!$I$3:$O$13,O$2,FALSE)*G321</f>
        <v>0.13439939983195298</v>
      </c>
      <c r="P321" s="51">
        <f>VLOOKUP($L321,TABLE!$I$3:$O$13,P$2,FALSE)/VLOOKUP($M321,TABLE!$I$3:$O$13,P$2,FALSE)*H321</f>
        <v>0.11476737818530761</v>
      </c>
      <c r="Q321" s="51">
        <f>VLOOKUP($L321,TABLE!$I$3:$O$13,Q$2,FALSE)/VLOOKUP($M321,TABLE!$I$3:$O$13,Q$2,FALSE)*I321</f>
        <v>0.16122277563004647</v>
      </c>
      <c r="R321" s="51">
        <f>VLOOKUP($L321,TABLE!$I$3:$O$13,R$2,FALSE)/VLOOKUP($M321,TABLE!$I$3:$O$13,R$2,FALSE)*J321</f>
        <v>0.11722334798941347</v>
      </c>
    </row>
    <row r="322" spans="2:18">
      <c r="B322" t="s">
        <v>37</v>
      </c>
      <c r="C322" t="s">
        <v>124</v>
      </c>
      <c r="D322" t="s">
        <v>145</v>
      </c>
      <c r="E322" t="s">
        <v>528</v>
      </c>
      <c r="F322" s="51"/>
      <c r="G322" s="51"/>
      <c r="H322" s="51"/>
      <c r="I322" s="51"/>
      <c r="J322" s="51"/>
      <c r="L322" t="str">
        <f>VLOOKUP(B322,TABLE!D:E,2,FALSE)</f>
        <v>EUR</v>
      </c>
      <c r="M322" t="str">
        <f t="shared" si="4"/>
        <v>USD</v>
      </c>
      <c r="N322" s="51">
        <f>VLOOKUP($L322,TABLE!$I$3:$O$13,N$2,FALSE)/VLOOKUP($M322,TABLE!$I$3:$O$13,N$2,FALSE)*F322</f>
        <v>0</v>
      </c>
      <c r="O322" s="51">
        <f>VLOOKUP($L322,TABLE!$I$3:$O$13,O$2,FALSE)/VLOOKUP($M322,TABLE!$I$3:$O$13,O$2,FALSE)*G322</f>
        <v>0</v>
      </c>
      <c r="P322" s="51">
        <f>VLOOKUP($L322,TABLE!$I$3:$O$13,P$2,FALSE)/VLOOKUP($M322,TABLE!$I$3:$O$13,P$2,FALSE)*H322</f>
        <v>0</v>
      </c>
      <c r="Q322" s="51">
        <f>VLOOKUP($L322,TABLE!$I$3:$O$13,Q$2,FALSE)/VLOOKUP($M322,TABLE!$I$3:$O$13,Q$2,FALSE)*I322</f>
        <v>0</v>
      </c>
      <c r="R322" s="51">
        <f>VLOOKUP($L322,TABLE!$I$3:$O$13,R$2,FALSE)/VLOOKUP($M322,TABLE!$I$3:$O$13,R$2,FALSE)*J322</f>
        <v>0</v>
      </c>
    </row>
    <row r="323" spans="2:18">
      <c r="B323" t="s">
        <v>37</v>
      </c>
      <c r="C323" t="s">
        <v>124</v>
      </c>
      <c r="D323" t="s">
        <v>36</v>
      </c>
      <c r="E323" t="s">
        <v>529</v>
      </c>
      <c r="F323" s="51">
        <v>2.64</v>
      </c>
      <c r="G323" s="51">
        <v>2.52</v>
      </c>
      <c r="H323" s="51">
        <v>2.4</v>
      </c>
      <c r="I323" s="51">
        <v>2.12</v>
      </c>
      <c r="J323" s="51">
        <v>2.2599999999999998</v>
      </c>
      <c r="L323" t="str">
        <f>VLOOKUP(B323,TABLE!D:E,2,FALSE)</f>
        <v>EUR</v>
      </c>
      <c r="M323" t="str">
        <f t="shared" si="4"/>
        <v>USD</v>
      </c>
      <c r="N323" s="51">
        <f>VLOOKUP($L323,TABLE!$I$3:$O$13,N$2,FALSE)/VLOOKUP($M323,TABLE!$I$3:$O$13,N$2,FALSE)*F323</f>
        <v>3.8016030323914545</v>
      </c>
      <c r="O323" s="51">
        <f>VLOOKUP($L323,TABLE!$I$3:$O$13,O$2,FALSE)/VLOOKUP($M323,TABLE!$I$3:$O$13,O$2,FALSE)*G323</f>
        <v>3.3696795102628743</v>
      </c>
      <c r="P323" s="51">
        <f>VLOOKUP($L323,TABLE!$I$3:$O$13,P$2,FALSE)/VLOOKUP($M323,TABLE!$I$3:$O$13,P$2,FALSE)*H323</f>
        <v>3.1144471692078048</v>
      </c>
      <c r="Q323" s="51">
        <f>VLOOKUP($L323,TABLE!$I$3:$O$13,Q$2,FALSE)/VLOOKUP($M323,TABLE!$I$3:$O$13,Q$2,FALSE)*I323</f>
        <v>2.7963043797406408</v>
      </c>
      <c r="R323" s="51">
        <f>VLOOKUP($L323,TABLE!$I$3:$O$13,R$2,FALSE)/VLOOKUP($M323,TABLE!$I$3:$O$13,R$2,FALSE)*J323</f>
        <v>3.1127337146760006</v>
      </c>
    </row>
    <row r="324" spans="2:18">
      <c r="B324" t="s">
        <v>37</v>
      </c>
      <c r="C324" t="s">
        <v>124</v>
      </c>
      <c r="D324" t="s">
        <v>38</v>
      </c>
      <c r="E324" t="s">
        <v>530</v>
      </c>
      <c r="F324" s="51">
        <v>0.18196000000000001</v>
      </c>
      <c r="G324" s="51">
        <v>0.24334</v>
      </c>
      <c r="H324" s="51">
        <v>0.22003</v>
      </c>
      <c r="I324" s="51">
        <v>0.22187999999999999</v>
      </c>
      <c r="J324" s="51">
        <v>0.20337</v>
      </c>
      <c r="L324" t="str">
        <f>VLOOKUP(B324,TABLE!D:E,2,FALSE)</f>
        <v>EUR</v>
      </c>
      <c r="M324" t="str">
        <f t="shared" si="4"/>
        <v>USD</v>
      </c>
      <c r="N324" s="51">
        <f>VLOOKUP($L324,TABLE!$I$3:$O$13,N$2,FALSE)/VLOOKUP($M324,TABLE!$I$3:$O$13,N$2,FALSE)*F324</f>
        <v>0.26202260900528374</v>
      </c>
      <c r="O324" s="51">
        <f>VLOOKUP($L324,TABLE!$I$3:$O$13,O$2,FALSE)/VLOOKUP($M324,TABLE!$I$3:$O$13,O$2,FALSE)*G324</f>
        <v>0.32538802064578087</v>
      </c>
      <c r="P324" s="51">
        <f>VLOOKUP($L324,TABLE!$I$3:$O$13,P$2,FALSE)/VLOOKUP($M324,TABLE!$I$3:$O$13,P$2,FALSE)*H324</f>
        <v>0.28552992110033054</v>
      </c>
      <c r="Q324" s="51">
        <f>VLOOKUP($L324,TABLE!$I$3:$O$13,Q$2,FALSE)/VLOOKUP($M324,TABLE!$I$3:$O$13,Q$2,FALSE)*I324</f>
        <v>0.29266227159285535</v>
      </c>
      <c r="R324" s="51">
        <f>VLOOKUP($L324,TABLE!$I$3:$O$13,R$2,FALSE)/VLOOKUP($M324,TABLE!$I$3:$O$13,R$2,FALSE)*J324</f>
        <v>0.28010471484675148</v>
      </c>
    </row>
    <row r="325" spans="2:18">
      <c r="B325" t="s">
        <v>37</v>
      </c>
      <c r="C325" t="s">
        <v>124</v>
      </c>
      <c r="D325" t="s">
        <v>40</v>
      </c>
      <c r="E325" t="s">
        <v>531</v>
      </c>
      <c r="F325" s="51">
        <v>2.46</v>
      </c>
      <c r="G325" s="51">
        <v>2.2799999999999998</v>
      </c>
      <c r="H325" s="51">
        <v>2.1800000000000002</v>
      </c>
      <c r="I325" s="51">
        <v>1.9</v>
      </c>
      <c r="J325" s="51">
        <v>2.0499999999999998</v>
      </c>
      <c r="L325" t="str">
        <f>VLOOKUP(B325,TABLE!D:E,2,FALSE)</f>
        <v>EUR</v>
      </c>
      <c r="M325" t="str">
        <f t="shared" ref="M325:M388" si="5">IF(M$1="LC",L325,M$1)</f>
        <v>USD</v>
      </c>
      <c r="N325" s="51">
        <f>VLOOKUP($L325,TABLE!$I$3:$O$13,N$2,FALSE)/VLOOKUP($M325,TABLE!$I$3:$O$13,N$2,FALSE)*F325</f>
        <v>3.5424028256374913</v>
      </c>
      <c r="O325" s="51">
        <f>VLOOKUP($L325,TABLE!$I$3:$O$13,O$2,FALSE)/VLOOKUP($M325,TABLE!$I$3:$O$13,O$2,FALSE)*G325</f>
        <v>3.0487576521426001</v>
      </c>
      <c r="P325" s="51">
        <f>VLOOKUP($L325,TABLE!$I$3:$O$13,P$2,FALSE)/VLOOKUP($M325,TABLE!$I$3:$O$13,P$2,FALSE)*H325</f>
        <v>2.8289561786970898</v>
      </c>
      <c r="Q325" s="51">
        <f>VLOOKUP($L325,TABLE!$I$3:$O$13,Q$2,FALSE)/VLOOKUP($M325,TABLE!$I$3:$O$13,Q$2,FALSE)*I325</f>
        <v>2.5061218497675553</v>
      </c>
      <c r="R325" s="51">
        <f>VLOOKUP($L325,TABLE!$I$3:$O$13,R$2,FALSE)/VLOOKUP($M325,TABLE!$I$3:$O$13,R$2,FALSE)*J325</f>
        <v>2.8234973960556644</v>
      </c>
    </row>
    <row r="326" spans="2:18">
      <c r="B326" t="s">
        <v>37</v>
      </c>
      <c r="C326" t="s">
        <v>124</v>
      </c>
      <c r="D326" t="s">
        <v>46</v>
      </c>
      <c r="E326" t="s">
        <v>532</v>
      </c>
      <c r="F326" s="51">
        <v>-3.06</v>
      </c>
      <c r="G326" s="51">
        <v>1.06</v>
      </c>
      <c r="H326" s="51">
        <v>1.48</v>
      </c>
      <c r="I326" s="51">
        <v>-4.33</v>
      </c>
      <c r="J326" s="51">
        <v>-1.44</v>
      </c>
      <c r="L326" t="str">
        <f>VLOOKUP(B326,TABLE!D:E,2,FALSE)</f>
        <v>EUR</v>
      </c>
      <c r="M326" t="str">
        <f t="shared" si="5"/>
        <v>USD</v>
      </c>
      <c r="N326" s="51">
        <f>VLOOKUP($L326,TABLE!$I$3:$O$13,N$2,FALSE)/VLOOKUP($M326,TABLE!$I$3:$O$13,N$2,FALSE)*F326</f>
        <v>-4.4064035148173675</v>
      </c>
      <c r="O326" s="51">
        <f>VLOOKUP($L326,TABLE!$I$3:$O$13,O$2,FALSE)/VLOOKUP($M326,TABLE!$I$3:$O$13,O$2,FALSE)*G326</f>
        <v>1.4174048733645424</v>
      </c>
      <c r="P326" s="51">
        <f>VLOOKUP($L326,TABLE!$I$3:$O$13,P$2,FALSE)/VLOOKUP($M326,TABLE!$I$3:$O$13,P$2,FALSE)*H326</f>
        <v>1.920575754344813</v>
      </c>
      <c r="Q326" s="51">
        <f>VLOOKUP($L326,TABLE!$I$3:$O$13,Q$2,FALSE)/VLOOKUP($M326,TABLE!$I$3:$O$13,Q$2,FALSE)*I326</f>
        <v>-5.7113197944702714</v>
      </c>
      <c r="R326" s="51">
        <f>VLOOKUP($L326,TABLE!$I$3:$O$13,R$2,FALSE)/VLOOKUP($M326,TABLE!$I$3:$O$13,R$2,FALSE)*J326</f>
        <v>-1.9833347562537351</v>
      </c>
    </row>
    <row r="327" spans="2:18">
      <c r="B327" t="s">
        <v>39</v>
      </c>
      <c r="C327" t="s">
        <v>124</v>
      </c>
      <c r="D327" t="s">
        <v>9</v>
      </c>
      <c r="E327" t="s">
        <v>533</v>
      </c>
      <c r="F327" s="51">
        <v>2.2400000000000002</v>
      </c>
      <c r="G327" s="51">
        <v>3.35</v>
      </c>
      <c r="H327" s="51">
        <v>3.23</v>
      </c>
      <c r="I327" s="51">
        <v>2.8</v>
      </c>
      <c r="J327" s="51">
        <v>3.35</v>
      </c>
      <c r="L327" t="str">
        <f>VLOOKUP(B327,TABLE!D:E,2,FALSE)</f>
        <v>EUR</v>
      </c>
      <c r="M327" t="str">
        <f t="shared" si="5"/>
        <v>USD</v>
      </c>
      <c r="N327" s="51">
        <f>VLOOKUP($L327,TABLE!$I$3:$O$13,N$2,FALSE)/VLOOKUP($M327,TABLE!$I$3:$O$13,N$2,FALSE)*F327</f>
        <v>3.2256025729382038</v>
      </c>
      <c r="O327" s="51">
        <f>VLOOKUP($L327,TABLE!$I$3:$O$13,O$2,FALSE)/VLOOKUP($M327,TABLE!$I$3:$O$13,O$2,FALSE)*G327</f>
        <v>4.4795342695954874</v>
      </c>
      <c r="P327" s="51">
        <f>VLOOKUP($L327,TABLE!$I$3:$O$13,P$2,FALSE)/VLOOKUP($M327,TABLE!$I$3:$O$13,P$2,FALSE)*H327</f>
        <v>4.1915268152255045</v>
      </c>
      <c r="Q327" s="51">
        <f>VLOOKUP($L327,TABLE!$I$3:$O$13,Q$2,FALSE)/VLOOKUP($M327,TABLE!$I$3:$O$13,Q$2,FALSE)*I327</f>
        <v>3.6932321996574498</v>
      </c>
      <c r="R327" s="51">
        <f>VLOOKUP($L327,TABLE!$I$3:$O$13,R$2,FALSE)/VLOOKUP($M327,TABLE!$I$3:$O$13,R$2,FALSE)*J327</f>
        <v>4.614007939895842</v>
      </c>
    </row>
    <row r="328" spans="2:18">
      <c r="B328" t="s">
        <v>39</v>
      </c>
      <c r="C328" t="s">
        <v>124</v>
      </c>
      <c r="D328" t="s">
        <v>11</v>
      </c>
      <c r="E328" t="s">
        <v>534</v>
      </c>
      <c r="F328" s="51">
        <v>1.69</v>
      </c>
      <c r="G328" s="51">
        <v>1.77</v>
      </c>
      <c r="H328" s="51">
        <v>1.77</v>
      </c>
      <c r="I328" s="51">
        <v>1.76</v>
      </c>
      <c r="J328" s="51">
        <v>1.93</v>
      </c>
      <c r="L328" t="str">
        <f>VLOOKUP(B328,TABLE!D:E,2,FALSE)</f>
        <v>EUR</v>
      </c>
      <c r="M328" t="str">
        <f t="shared" si="5"/>
        <v>USD</v>
      </c>
      <c r="N328" s="51">
        <f>VLOOKUP($L328,TABLE!$I$3:$O$13,N$2,FALSE)/VLOOKUP($M328,TABLE!$I$3:$O$13,N$2,FALSE)*F328</f>
        <v>2.4336019411899836</v>
      </c>
      <c r="O328" s="51">
        <f>VLOOKUP($L328,TABLE!$I$3:$O$13,O$2,FALSE)/VLOOKUP($M328,TABLE!$I$3:$O$13,O$2,FALSE)*G328</f>
        <v>2.3667987036370191</v>
      </c>
      <c r="P328" s="51">
        <f>VLOOKUP($L328,TABLE!$I$3:$O$13,P$2,FALSE)/VLOOKUP($M328,TABLE!$I$3:$O$13,P$2,FALSE)*H328</f>
        <v>2.2969047872907562</v>
      </c>
      <c r="Q328" s="51">
        <f>VLOOKUP($L328,TABLE!$I$3:$O$13,Q$2,FALSE)/VLOOKUP($M328,TABLE!$I$3:$O$13,Q$2,FALSE)*I328</f>
        <v>2.3214602397846829</v>
      </c>
      <c r="R328" s="51">
        <f>VLOOKUP($L328,TABLE!$I$3:$O$13,R$2,FALSE)/VLOOKUP($M328,TABLE!$I$3:$O$13,R$2,FALSE)*J328</f>
        <v>2.6582194997011865</v>
      </c>
    </row>
    <row r="329" spans="2:18">
      <c r="B329" t="s">
        <v>39</v>
      </c>
      <c r="C329" t="s">
        <v>124</v>
      </c>
      <c r="D329" t="s">
        <v>13</v>
      </c>
      <c r="E329" t="s">
        <v>535</v>
      </c>
      <c r="F329" s="51">
        <v>1.7</v>
      </c>
      <c r="G329" s="51">
        <v>1.65</v>
      </c>
      <c r="H329" s="51">
        <v>1.53</v>
      </c>
      <c r="I329" s="51">
        <v>1.66</v>
      </c>
      <c r="J329" s="51">
        <v>1.62</v>
      </c>
      <c r="L329" t="str">
        <f>VLOOKUP(B329,TABLE!D:E,2,FALSE)</f>
        <v>EUR</v>
      </c>
      <c r="M329" t="str">
        <f t="shared" si="5"/>
        <v>USD</v>
      </c>
      <c r="N329" s="51">
        <f>VLOOKUP($L329,TABLE!$I$3:$O$13,N$2,FALSE)/VLOOKUP($M329,TABLE!$I$3:$O$13,N$2,FALSE)*F329</f>
        <v>2.4480019526763153</v>
      </c>
      <c r="O329" s="51">
        <f>VLOOKUP($L329,TABLE!$I$3:$O$13,O$2,FALSE)/VLOOKUP($M329,TABLE!$I$3:$O$13,O$2,FALSE)*G329</f>
        <v>2.2063377745768817</v>
      </c>
      <c r="P329" s="51">
        <f>VLOOKUP($L329,TABLE!$I$3:$O$13,P$2,FALSE)/VLOOKUP($M329,TABLE!$I$3:$O$13,P$2,FALSE)*H329</f>
        <v>1.9854600703699756</v>
      </c>
      <c r="Q329" s="51">
        <f>VLOOKUP($L329,TABLE!$I$3:$O$13,Q$2,FALSE)/VLOOKUP($M329,TABLE!$I$3:$O$13,Q$2,FALSE)*I329</f>
        <v>2.1895590897969166</v>
      </c>
      <c r="R329" s="51">
        <f>VLOOKUP($L329,TABLE!$I$3:$O$13,R$2,FALSE)/VLOOKUP($M329,TABLE!$I$3:$O$13,R$2,FALSE)*J329</f>
        <v>2.2312516007854519</v>
      </c>
    </row>
    <row r="330" spans="2:18">
      <c r="B330" t="s">
        <v>39</v>
      </c>
      <c r="C330" t="s">
        <v>124</v>
      </c>
      <c r="D330" t="s">
        <v>15</v>
      </c>
      <c r="E330" t="s">
        <v>536</v>
      </c>
      <c r="F330" s="51">
        <v>6.64</v>
      </c>
      <c r="G330" s="51">
        <v>7.74</v>
      </c>
      <c r="H330" s="51">
        <v>9.5500000000000007</v>
      </c>
      <c r="I330" s="51">
        <v>9.2799999999999994</v>
      </c>
      <c r="J330" s="51">
        <v>7.72</v>
      </c>
      <c r="L330" t="str">
        <f>VLOOKUP(B330,TABLE!D:E,2,FALSE)</f>
        <v>EUR</v>
      </c>
      <c r="M330" t="str">
        <f t="shared" si="5"/>
        <v>USD</v>
      </c>
      <c r="N330" s="51">
        <f>VLOOKUP($L330,TABLE!$I$3:$O$13,N$2,FALSE)/VLOOKUP($M330,TABLE!$I$3:$O$13,N$2,FALSE)*F330</f>
        <v>9.5616076269239603</v>
      </c>
      <c r="O330" s="51">
        <f>VLOOKUP($L330,TABLE!$I$3:$O$13,O$2,FALSE)/VLOOKUP($M330,TABLE!$I$3:$O$13,O$2,FALSE)*G330</f>
        <v>10.349729924378828</v>
      </c>
      <c r="P330" s="51">
        <f>VLOOKUP($L330,TABLE!$I$3:$O$13,P$2,FALSE)/VLOOKUP($M330,TABLE!$I$3:$O$13,P$2,FALSE)*H330</f>
        <v>12.392904360806059</v>
      </c>
      <c r="Q330" s="51">
        <f>VLOOKUP($L330,TABLE!$I$3:$O$13,Q$2,FALSE)/VLOOKUP($M330,TABLE!$I$3:$O$13,Q$2,FALSE)*I330</f>
        <v>12.240426718864692</v>
      </c>
      <c r="R330" s="51">
        <f>VLOOKUP($L330,TABLE!$I$3:$O$13,R$2,FALSE)/VLOOKUP($M330,TABLE!$I$3:$O$13,R$2,FALSE)*J330</f>
        <v>10.632877998804746</v>
      </c>
    </row>
    <row r="331" spans="2:18">
      <c r="B331" t="s">
        <v>39</v>
      </c>
      <c r="C331" t="s">
        <v>124</v>
      </c>
      <c r="D331" t="s">
        <v>18</v>
      </c>
      <c r="E331" t="s">
        <v>537</v>
      </c>
      <c r="F331" s="51">
        <v>39.5</v>
      </c>
      <c r="G331" s="51">
        <v>42.49</v>
      </c>
      <c r="H331" s="51">
        <v>40.72</v>
      </c>
      <c r="I331" s="51">
        <v>39.46</v>
      </c>
      <c r="J331" s="51">
        <v>37.08</v>
      </c>
      <c r="L331" t="str">
        <f>VLOOKUP(B331,TABLE!D:E,2,FALSE)</f>
        <v>EUR</v>
      </c>
      <c r="M331" t="str">
        <f t="shared" si="5"/>
        <v>USD</v>
      </c>
      <c r="N331" s="51">
        <f>VLOOKUP($L331,TABLE!$I$3:$O$13,N$2,FALSE)/VLOOKUP($M331,TABLE!$I$3:$O$13,N$2,FALSE)*F331</f>
        <v>56.880045371008499</v>
      </c>
      <c r="O331" s="51">
        <f>VLOOKUP($L331,TABLE!$I$3:$O$13,O$2,FALSE)/VLOOKUP($M331,TABLE!$I$3:$O$13,O$2,FALSE)*G331</f>
        <v>56.816540631376796</v>
      </c>
      <c r="P331" s="51">
        <f>VLOOKUP($L331,TABLE!$I$3:$O$13,P$2,FALSE)/VLOOKUP($M331,TABLE!$I$3:$O$13,P$2,FALSE)*H331</f>
        <v>52.841786970892421</v>
      </c>
      <c r="Q331" s="51">
        <f>VLOOKUP($L331,TABLE!$I$3:$O$13,Q$2,FALSE)/VLOOKUP($M331,TABLE!$I$3:$O$13,Q$2,FALSE)*I331</f>
        <v>52.048193785172494</v>
      </c>
      <c r="R331" s="51">
        <f>VLOOKUP($L331,TABLE!$I$3:$O$13,R$2,FALSE)/VLOOKUP($M331,TABLE!$I$3:$O$13,R$2,FALSE)*J331</f>
        <v>51.070869973533675</v>
      </c>
    </row>
    <row r="332" spans="2:18">
      <c r="B332" t="s">
        <v>39</v>
      </c>
      <c r="C332" t="s">
        <v>124</v>
      </c>
      <c r="D332" t="s">
        <v>21</v>
      </c>
      <c r="E332" t="s">
        <v>538</v>
      </c>
      <c r="F332" s="51">
        <v>6.05</v>
      </c>
      <c r="G332" s="51">
        <v>7.51</v>
      </c>
      <c r="H332" s="51">
        <v>7.26</v>
      </c>
      <c r="I332" s="51">
        <v>7.27</v>
      </c>
      <c r="J332" s="51">
        <v>6.95</v>
      </c>
      <c r="L332" t="str">
        <f>VLOOKUP(B332,TABLE!D:E,2,FALSE)</f>
        <v>EUR</v>
      </c>
      <c r="M332" t="str">
        <f t="shared" si="5"/>
        <v>USD</v>
      </c>
      <c r="N332" s="51">
        <f>VLOOKUP($L332,TABLE!$I$3:$O$13,N$2,FALSE)/VLOOKUP($M332,TABLE!$I$3:$O$13,N$2,FALSE)*F332</f>
        <v>8.7120069492304157</v>
      </c>
      <c r="O332" s="51">
        <f>VLOOKUP($L332,TABLE!$I$3:$O$13,O$2,FALSE)/VLOOKUP($M332,TABLE!$I$3:$O$13,O$2,FALSE)*G332</f>
        <v>10.042179810346898</v>
      </c>
      <c r="P332" s="51">
        <f>VLOOKUP($L332,TABLE!$I$3:$O$13,P$2,FALSE)/VLOOKUP($M332,TABLE!$I$3:$O$13,P$2,FALSE)*H332</f>
        <v>9.4212026868536096</v>
      </c>
      <c r="Q332" s="51">
        <f>VLOOKUP($L332,TABLE!$I$3:$O$13,Q$2,FALSE)/VLOOKUP($M332,TABLE!$I$3:$O$13,Q$2,FALSE)*I332</f>
        <v>9.5892136041105935</v>
      </c>
      <c r="R332" s="51">
        <f>VLOOKUP($L332,TABLE!$I$3:$O$13,R$2,FALSE)/VLOOKUP($M332,TABLE!$I$3:$O$13,R$2,FALSE)*J332</f>
        <v>9.5723448305301808</v>
      </c>
    </row>
    <row r="333" spans="2:18">
      <c r="B333" t="s">
        <v>39</v>
      </c>
      <c r="C333" t="s">
        <v>124</v>
      </c>
      <c r="D333" t="s">
        <v>20</v>
      </c>
      <c r="E333" t="s">
        <v>539</v>
      </c>
      <c r="F333" s="51">
        <v>1.65</v>
      </c>
      <c r="G333" s="51">
        <v>2</v>
      </c>
      <c r="H333" s="51">
        <v>1.96</v>
      </c>
      <c r="I333" s="51">
        <v>1.99</v>
      </c>
      <c r="J333" s="51">
        <v>2.2200000000000002</v>
      </c>
      <c r="L333" t="str">
        <f>VLOOKUP(B333,TABLE!D:E,2,FALSE)</f>
        <v>EUR</v>
      </c>
      <c r="M333" t="str">
        <f t="shared" si="5"/>
        <v>USD</v>
      </c>
      <c r="N333" s="51">
        <f>VLOOKUP($L333,TABLE!$I$3:$O$13,N$2,FALSE)/VLOOKUP($M333,TABLE!$I$3:$O$13,N$2,FALSE)*F333</f>
        <v>2.3760018952446589</v>
      </c>
      <c r="O333" s="51">
        <f>VLOOKUP($L333,TABLE!$I$3:$O$13,O$2,FALSE)/VLOOKUP($M333,TABLE!$I$3:$O$13,O$2,FALSE)*G333</f>
        <v>2.6743488176689478</v>
      </c>
      <c r="P333" s="51">
        <f>VLOOKUP($L333,TABLE!$I$3:$O$13,P$2,FALSE)/VLOOKUP($M333,TABLE!$I$3:$O$13,P$2,FALSE)*H333</f>
        <v>2.5434651881863739</v>
      </c>
      <c r="Q333" s="51">
        <f>VLOOKUP($L333,TABLE!$I$3:$O$13,Q$2,FALSE)/VLOOKUP($M333,TABLE!$I$3:$O$13,Q$2,FALSE)*I333</f>
        <v>2.624832884756545</v>
      </c>
      <c r="R333" s="51">
        <f>VLOOKUP($L333,TABLE!$I$3:$O$13,R$2,FALSE)/VLOOKUP($M333,TABLE!$I$3:$O$13,R$2,FALSE)*J333</f>
        <v>3.0576410825578417</v>
      </c>
    </row>
    <row r="334" spans="2:18">
      <c r="B334" t="s">
        <v>39</v>
      </c>
      <c r="C334" t="s">
        <v>124</v>
      </c>
      <c r="D334" t="s">
        <v>25</v>
      </c>
      <c r="E334" t="s">
        <v>540</v>
      </c>
      <c r="F334" s="51">
        <v>16.8</v>
      </c>
      <c r="G334" s="51">
        <v>18.22</v>
      </c>
      <c r="H334" s="51">
        <v>18.2</v>
      </c>
      <c r="I334" s="51">
        <v>17.75</v>
      </c>
      <c r="J334" s="51">
        <v>16.510000000000002</v>
      </c>
      <c r="L334" t="str">
        <f>VLOOKUP(B334,TABLE!D:E,2,FALSE)</f>
        <v>EUR</v>
      </c>
      <c r="M334" t="str">
        <f t="shared" si="5"/>
        <v>USD</v>
      </c>
      <c r="N334" s="51">
        <f>VLOOKUP($L334,TABLE!$I$3:$O$13,N$2,FALSE)/VLOOKUP($M334,TABLE!$I$3:$O$13,N$2,FALSE)*F334</f>
        <v>24.192019297036527</v>
      </c>
      <c r="O334" s="51">
        <f>VLOOKUP($L334,TABLE!$I$3:$O$13,O$2,FALSE)/VLOOKUP($M334,TABLE!$I$3:$O$13,O$2,FALSE)*G334</f>
        <v>24.363317728964113</v>
      </c>
      <c r="P334" s="51">
        <f>VLOOKUP($L334,TABLE!$I$3:$O$13,P$2,FALSE)/VLOOKUP($M334,TABLE!$I$3:$O$13,P$2,FALSE)*H334</f>
        <v>23.617891033159186</v>
      </c>
      <c r="Q334" s="51">
        <f>VLOOKUP($L334,TABLE!$I$3:$O$13,Q$2,FALSE)/VLOOKUP($M334,TABLE!$I$3:$O$13,Q$2,FALSE)*I334</f>
        <v>23.412454122828478</v>
      </c>
      <c r="R334" s="51">
        <f>VLOOKUP($L334,TABLE!$I$3:$O$13,R$2,FALSE)/VLOOKUP($M334,TABLE!$I$3:$O$13,R$2,FALSE)*J334</f>
        <v>22.739483906770257</v>
      </c>
    </row>
    <row r="335" spans="2:18">
      <c r="B335" t="s">
        <v>39</v>
      </c>
      <c r="C335" t="s">
        <v>124</v>
      </c>
      <c r="D335" t="s">
        <v>30</v>
      </c>
      <c r="E335" t="s">
        <v>541</v>
      </c>
      <c r="F335" s="51">
        <v>15.88</v>
      </c>
      <c r="G335" s="51">
        <v>16.170000000000002</v>
      </c>
      <c r="H335" s="51">
        <v>15.28</v>
      </c>
      <c r="I335" s="51">
        <v>15.82</v>
      </c>
      <c r="J335" s="51">
        <v>15.2</v>
      </c>
      <c r="L335" t="str">
        <f>VLOOKUP(B335,TABLE!D:E,2,FALSE)</f>
        <v>EUR</v>
      </c>
      <c r="M335" t="str">
        <f t="shared" si="5"/>
        <v>USD</v>
      </c>
      <c r="N335" s="51">
        <f>VLOOKUP($L335,TABLE!$I$3:$O$13,N$2,FALSE)/VLOOKUP($M335,TABLE!$I$3:$O$13,N$2,FALSE)*F335</f>
        <v>22.867218240294051</v>
      </c>
      <c r="O335" s="51">
        <f>VLOOKUP($L335,TABLE!$I$3:$O$13,O$2,FALSE)/VLOOKUP($M335,TABLE!$I$3:$O$13,O$2,FALSE)*G335</f>
        <v>21.622110190853444</v>
      </c>
      <c r="P335" s="51">
        <f>VLOOKUP($L335,TABLE!$I$3:$O$13,P$2,FALSE)/VLOOKUP($M335,TABLE!$I$3:$O$13,P$2,FALSE)*H335</f>
        <v>19.82864697728969</v>
      </c>
      <c r="Q335" s="51">
        <f>VLOOKUP($L335,TABLE!$I$3:$O$13,Q$2,FALSE)/VLOOKUP($M335,TABLE!$I$3:$O$13,Q$2,FALSE)*I335</f>
        <v>20.866761928064594</v>
      </c>
      <c r="R335" s="51">
        <f>VLOOKUP($L335,TABLE!$I$3:$O$13,R$2,FALSE)/VLOOKUP($M335,TABLE!$I$3:$O$13,R$2,FALSE)*J335</f>
        <v>20.935200204900536</v>
      </c>
    </row>
    <row r="336" spans="2:18">
      <c r="B336" t="s">
        <v>39</v>
      </c>
      <c r="C336" t="s">
        <v>124</v>
      </c>
      <c r="D336" t="s">
        <v>34</v>
      </c>
      <c r="E336" t="s">
        <v>542</v>
      </c>
      <c r="F336" s="51">
        <v>4.18</v>
      </c>
      <c r="G336" s="51">
        <v>4.1500000000000004</v>
      </c>
      <c r="H336" s="51">
        <v>3.66</v>
      </c>
      <c r="I336" s="51">
        <v>3.88</v>
      </c>
      <c r="J336" s="51">
        <v>3.46</v>
      </c>
      <c r="L336" t="str">
        <f>VLOOKUP(B336,TABLE!D:E,2,FALSE)</f>
        <v>EUR</v>
      </c>
      <c r="M336" t="str">
        <f t="shared" si="5"/>
        <v>USD</v>
      </c>
      <c r="N336" s="51">
        <f>VLOOKUP($L336,TABLE!$I$3:$O$13,N$2,FALSE)/VLOOKUP($M336,TABLE!$I$3:$O$13,N$2,FALSE)*F336</f>
        <v>6.0192048012864685</v>
      </c>
      <c r="O336" s="51">
        <f>VLOOKUP($L336,TABLE!$I$3:$O$13,O$2,FALSE)/VLOOKUP($M336,TABLE!$I$3:$O$13,O$2,FALSE)*G336</f>
        <v>5.5492737966630674</v>
      </c>
      <c r="P336" s="51">
        <f>VLOOKUP($L336,TABLE!$I$3:$O$13,P$2,FALSE)/VLOOKUP($M336,TABLE!$I$3:$O$13,P$2,FALSE)*H336</f>
        <v>4.7495319330419026</v>
      </c>
      <c r="Q336" s="51">
        <f>VLOOKUP($L336,TABLE!$I$3:$O$13,Q$2,FALSE)/VLOOKUP($M336,TABLE!$I$3:$O$13,Q$2,FALSE)*I336</f>
        <v>5.1177646195253237</v>
      </c>
      <c r="R336" s="51">
        <f>VLOOKUP($L336,TABLE!$I$3:$O$13,R$2,FALSE)/VLOOKUP($M336,TABLE!$I$3:$O$13,R$2,FALSE)*J336</f>
        <v>4.7655126782207802</v>
      </c>
    </row>
    <row r="337" spans="2:18">
      <c r="B337" t="s">
        <v>39</v>
      </c>
      <c r="C337" t="s">
        <v>124</v>
      </c>
      <c r="D337" t="s">
        <v>48</v>
      </c>
      <c r="E337" t="s">
        <v>543</v>
      </c>
      <c r="F337" s="51">
        <v>0.73599999999999999</v>
      </c>
      <c r="G337" s="51">
        <v>0.82699999999999996</v>
      </c>
      <c r="H337" s="51">
        <v>0.10100000000000001</v>
      </c>
      <c r="I337" s="51">
        <v>0.34899999999999998</v>
      </c>
      <c r="J337" s="51">
        <v>0.55500000000000005</v>
      </c>
      <c r="L337" t="str">
        <f>VLOOKUP(B337,TABLE!D:E,2,FALSE)</f>
        <v>EUR</v>
      </c>
      <c r="M337" t="str">
        <f t="shared" si="5"/>
        <v>USD</v>
      </c>
      <c r="N337" s="51">
        <f>VLOOKUP($L337,TABLE!$I$3:$O$13,N$2,FALSE)/VLOOKUP($M337,TABLE!$I$3:$O$13,N$2,FALSE)*F337</f>
        <v>1.0598408453939812</v>
      </c>
      <c r="O337" s="51">
        <f>VLOOKUP($L337,TABLE!$I$3:$O$13,O$2,FALSE)/VLOOKUP($M337,TABLE!$I$3:$O$13,O$2,FALSE)*G337</f>
        <v>1.1058432361061099</v>
      </c>
      <c r="P337" s="51">
        <f>VLOOKUP($L337,TABLE!$I$3:$O$13,P$2,FALSE)/VLOOKUP($M337,TABLE!$I$3:$O$13,P$2,FALSE)*H337</f>
        <v>0.13106631837082847</v>
      </c>
      <c r="Q337" s="51">
        <f>VLOOKUP($L337,TABLE!$I$3:$O$13,Q$2,FALSE)/VLOOKUP($M337,TABLE!$I$3:$O$13,Q$2,FALSE)*I337</f>
        <v>0.4603350134573036</v>
      </c>
      <c r="R337" s="51">
        <f>VLOOKUP($L337,TABLE!$I$3:$O$13,R$2,FALSE)/VLOOKUP($M337,TABLE!$I$3:$O$13,R$2,FALSE)*J337</f>
        <v>0.76441027063946043</v>
      </c>
    </row>
    <row r="338" spans="2:18">
      <c r="B338" t="s">
        <v>39</v>
      </c>
      <c r="C338" t="s">
        <v>124</v>
      </c>
      <c r="D338" t="s">
        <v>50</v>
      </c>
      <c r="E338" t="s">
        <v>544</v>
      </c>
      <c r="F338" s="51">
        <v>3.59</v>
      </c>
      <c r="G338" s="51">
        <v>3.61</v>
      </c>
      <c r="H338" s="51">
        <v>3.22</v>
      </c>
      <c r="I338" s="51">
        <v>3.42</v>
      </c>
      <c r="J338" s="51">
        <v>3.1</v>
      </c>
      <c r="L338" t="str">
        <f>VLOOKUP(B338,TABLE!D:E,2,FALSE)</f>
        <v>EUR</v>
      </c>
      <c r="M338" t="str">
        <f t="shared" si="5"/>
        <v>USD</v>
      </c>
      <c r="N338" s="51">
        <f>VLOOKUP($L338,TABLE!$I$3:$O$13,N$2,FALSE)/VLOOKUP($M338,TABLE!$I$3:$O$13,N$2,FALSE)*F338</f>
        <v>5.169604123592924</v>
      </c>
      <c r="O338" s="51">
        <f>VLOOKUP($L338,TABLE!$I$3:$O$13,O$2,FALSE)/VLOOKUP($M338,TABLE!$I$3:$O$13,O$2,FALSE)*G338</f>
        <v>4.8271996158924511</v>
      </c>
      <c r="P338" s="51">
        <f>VLOOKUP($L338,TABLE!$I$3:$O$13,P$2,FALSE)/VLOOKUP($M338,TABLE!$I$3:$O$13,P$2,FALSE)*H338</f>
        <v>4.1785499520204716</v>
      </c>
      <c r="Q338" s="51">
        <f>VLOOKUP($L338,TABLE!$I$3:$O$13,Q$2,FALSE)/VLOOKUP($M338,TABLE!$I$3:$O$13,Q$2,FALSE)*I338</f>
        <v>4.5110193295815995</v>
      </c>
      <c r="R338" s="51">
        <f>VLOOKUP($L338,TABLE!$I$3:$O$13,R$2,FALSE)/VLOOKUP($M338,TABLE!$I$3:$O$13,R$2,FALSE)*J338</f>
        <v>4.2696789891573461</v>
      </c>
    </row>
    <row r="339" spans="2:18">
      <c r="B339" t="s">
        <v>39</v>
      </c>
      <c r="C339" t="s">
        <v>124</v>
      </c>
      <c r="D339" t="s">
        <v>44</v>
      </c>
      <c r="E339" t="s">
        <v>545</v>
      </c>
      <c r="F339" s="51">
        <v>0.879</v>
      </c>
      <c r="G339" s="51">
        <v>0.86299999999999999</v>
      </c>
      <c r="H339" s="51">
        <v>0.94299999999999995</v>
      </c>
      <c r="I339" s="51">
        <v>1.26</v>
      </c>
      <c r="J339" s="51">
        <v>1.18</v>
      </c>
      <c r="L339" t="str">
        <f>VLOOKUP(B339,TABLE!D:E,2,FALSE)</f>
        <v>EUR</v>
      </c>
      <c r="M339" t="str">
        <f t="shared" si="5"/>
        <v>USD</v>
      </c>
      <c r="N339" s="51">
        <f>VLOOKUP($L339,TABLE!$I$3:$O$13,N$2,FALSE)/VLOOKUP($M339,TABLE!$I$3:$O$13,N$2,FALSE)*F339</f>
        <v>1.2657610096485183</v>
      </c>
      <c r="O339" s="51">
        <f>VLOOKUP($L339,TABLE!$I$3:$O$13,O$2,FALSE)/VLOOKUP($M339,TABLE!$I$3:$O$13,O$2,FALSE)*G339</f>
        <v>1.153981514824151</v>
      </c>
      <c r="P339" s="51">
        <f>VLOOKUP($L339,TABLE!$I$3:$O$13,P$2,FALSE)/VLOOKUP($M339,TABLE!$I$3:$O$13,P$2,FALSE)*H339</f>
        <v>1.2237182002345666</v>
      </c>
      <c r="Q339" s="51">
        <f>VLOOKUP($L339,TABLE!$I$3:$O$13,Q$2,FALSE)/VLOOKUP($M339,TABLE!$I$3:$O$13,Q$2,FALSE)*I339</f>
        <v>1.6619544898458525</v>
      </c>
      <c r="R339" s="51">
        <f>VLOOKUP($L339,TABLE!$I$3:$O$13,R$2,FALSE)/VLOOKUP($M339,TABLE!$I$3:$O$13,R$2,FALSE)*J339</f>
        <v>1.6252326474856995</v>
      </c>
    </row>
    <row r="340" spans="2:18">
      <c r="B340" t="s">
        <v>39</v>
      </c>
      <c r="C340" t="s">
        <v>124</v>
      </c>
      <c r="D340" t="s">
        <v>42</v>
      </c>
      <c r="E340" t="s">
        <v>546</v>
      </c>
      <c r="F340" s="51">
        <v>0.11899999999999999</v>
      </c>
      <c r="G340" s="51">
        <v>0.09</v>
      </c>
      <c r="H340" s="51">
        <v>0.10199999999999999</v>
      </c>
      <c r="I340" s="51">
        <v>0.16</v>
      </c>
      <c r="J340" s="51">
        <v>0.13600000000000001</v>
      </c>
      <c r="L340" t="str">
        <f>VLOOKUP(B340,TABLE!D:E,2,FALSE)</f>
        <v>EUR</v>
      </c>
      <c r="M340" t="str">
        <f t="shared" si="5"/>
        <v>USD</v>
      </c>
      <c r="N340" s="51">
        <f>VLOOKUP($L340,TABLE!$I$3:$O$13,N$2,FALSE)/VLOOKUP($M340,TABLE!$I$3:$O$13,N$2,FALSE)*F340</f>
        <v>0.17136013668734204</v>
      </c>
      <c r="O340" s="51">
        <f>VLOOKUP($L340,TABLE!$I$3:$O$13,O$2,FALSE)/VLOOKUP($M340,TABLE!$I$3:$O$13,O$2,FALSE)*G340</f>
        <v>0.12034569679510265</v>
      </c>
      <c r="P340" s="51">
        <f>VLOOKUP($L340,TABLE!$I$3:$O$13,P$2,FALSE)/VLOOKUP($M340,TABLE!$I$3:$O$13,P$2,FALSE)*H340</f>
        <v>0.13236400469133169</v>
      </c>
      <c r="Q340" s="51">
        <f>VLOOKUP($L340,TABLE!$I$3:$O$13,Q$2,FALSE)/VLOOKUP($M340,TABLE!$I$3:$O$13,Q$2,FALSE)*I340</f>
        <v>0.21104183998042572</v>
      </c>
      <c r="R340" s="51">
        <f>VLOOKUP($L340,TABLE!$I$3:$O$13,R$2,FALSE)/VLOOKUP($M340,TABLE!$I$3:$O$13,R$2,FALSE)*J340</f>
        <v>0.18731494920174166</v>
      </c>
    </row>
    <row r="341" spans="2:18">
      <c r="B341" t="s">
        <v>39</v>
      </c>
      <c r="C341" t="s">
        <v>124</v>
      </c>
      <c r="D341" t="s">
        <v>145</v>
      </c>
      <c r="E341" t="s">
        <v>547</v>
      </c>
      <c r="F341" s="51"/>
      <c r="G341" s="51"/>
      <c r="H341" s="51"/>
      <c r="I341" s="51"/>
      <c r="J341" s="51"/>
      <c r="L341" t="str">
        <f>VLOOKUP(B341,TABLE!D:E,2,FALSE)</f>
        <v>EUR</v>
      </c>
      <c r="M341" t="str">
        <f t="shared" si="5"/>
        <v>USD</v>
      </c>
      <c r="N341" s="51">
        <f>VLOOKUP($L341,TABLE!$I$3:$O$13,N$2,FALSE)/VLOOKUP($M341,TABLE!$I$3:$O$13,N$2,FALSE)*F341</f>
        <v>0</v>
      </c>
      <c r="O341" s="51">
        <f>VLOOKUP($L341,TABLE!$I$3:$O$13,O$2,FALSE)/VLOOKUP($M341,TABLE!$I$3:$O$13,O$2,FALSE)*G341</f>
        <v>0</v>
      </c>
      <c r="P341" s="51">
        <f>VLOOKUP($L341,TABLE!$I$3:$O$13,P$2,FALSE)/VLOOKUP($M341,TABLE!$I$3:$O$13,P$2,FALSE)*H341</f>
        <v>0</v>
      </c>
      <c r="Q341" s="51">
        <f>VLOOKUP($L341,TABLE!$I$3:$O$13,Q$2,FALSE)/VLOOKUP($M341,TABLE!$I$3:$O$13,Q$2,FALSE)*I341</f>
        <v>0</v>
      </c>
      <c r="R341" s="51">
        <f>VLOOKUP($L341,TABLE!$I$3:$O$13,R$2,FALSE)/VLOOKUP($M341,TABLE!$I$3:$O$13,R$2,FALSE)*J341</f>
        <v>0</v>
      </c>
    </row>
    <row r="342" spans="2:18">
      <c r="B342" t="s">
        <v>39</v>
      </c>
      <c r="C342" t="s">
        <v>124</v>
      </c>
      <c r="D342" t="s">
        <v>36</v>
      </c>
      <c r="E342" t="s">
        <v>548</v>
      </c>
      <c r="F342" s="51">
        <v>1.7</v>
      </c>
      <c r="G342" s="51">
        <v>1.71</v>
      </c>
      <c r="H342" s="51">
        <v>1.48</v>
      </c>
      <c r="I342" s="51">
        <v>1.47</v>
      </c>
      <c r="J342" s="51">
        <v>1.38</v>
      </c>
      <c r="L342" t="str">
        <f>VLOOKUP(B342,TABLE!D:E,2,FALSE)</f>
        <v>EUR</v>
      </c>
      <c r="M342" t="str">
        <f t="shared" si="5"/>
        <v>USD</v>
      </c>
      <c r="N342" s="51">
        <f>VLOOKUP($L342,TABLE!$I$3:$O$13,N$2,FALSE)/VLOOKUP($M342,TABLE!$I$3:$O$13,N$2,FALSE)*F342</f>
        <v>2.4480019526763153</v>
      </c>
      <c r="O342" s="51">
        <f>VLOOKUP($L342,TABLE!$I$3:$O$13,O$2,FALSE)/VLOOKUP($M342,TABLE!$I$3:$O$13,O$2,FALSE)*G342</f>
        <v>2.2865682391069502</v>
      </c>
      <c r="P342" s="51">
        <f>VLOOKUP($L342,TABLE!$I$3:$O$13,P$2,FALSE)/VLOOKUP($M342,TABLE!$I$3:$O$13,P$2,FALSE)*H342</f>
        <v>1.920575754344813</v>
      </c>
      <c r="Q342" s="51">
        <f>VLOOKUP($L342,TABLE!$I$3:$O$13,Q$2,FALSE)/VLOOKUP($M342,TABLE!$I$3:$O$13,Q$2,FALSE)*I342</f>
        <v>1.9389469048201613</v>
      </c>
      <c r="R342" s="51">
        <f>VLOOKUP($L342,TABLE!$I$3:$O$13,R$2,FALSE)/VLOOKUP($M342,TABLE!$I$3:$O$13,R$2,FALSE)*J342</f>
        <v>1.900695808076496</v>
      </c>
    </row>
    <row r="343" spans="2:18">
      <c r="B343" t="s">
        <v>39</v>
      </c>
      <c r="C343" t="s">
        <v>124</v>
      </c>
      <c r="D343" t="s">
        <v>38</v>
      </c>
      <c r="E343" t="s">
        <v>549</v>
      </c>
      <c r="F343" s="51">
        <v>0</v>
      </c>
      <c r="G343" s="51">
        <v>0.153</v>
      </c>
      <c r="H343" s="51">
        <v>0.11700000000000001</v>
      </c>
      <c r="I343" s="51">
        <v>0</v>
      </c>
      <c r="J343" s="51">
        <v>0</v>
      </c>
      <c r="L343" t="str">
        <f>VLOOKUP(B343,TABLE!D:E,2,FALSE)</f>
        <v>EUR</v>
      </c>
      <c r="M343" t="str">
        <f t="shared" si="5"/>
        <v>USD</v>
      </c>
      <c r="N343" s="51">
        <f>VLOOKUP($L343,TABLE!$I$3:$O$13,N$2,FALSE)/VLOOKUP($M343,TABLE!$I$3:$O$13,N$2,FALSE)*F343</f>
        <v>0</v>
      </c>
      <c r="O343" s="51">
        <f>VLOOKUP($L343,TABLE!$I$3:$O$13,O$2,FALSE)/VLOOKUP($M343,TABLE!$I$3:$O$13,O$2,FALSE)*G343</f>
        <v>0.2045876845516745</v>
      </c>
      <c r="P343" s="51">
        <f>VLOOKUP($L343,TABLE!$I$3:$O$13,P$2,FALSE)/VLOOKUP($M343,TABLE!$I$3:$O$13,P$2,FALSE)*H343</f>
        <v>0.15182929949888049</v>
      </c>
      <c r="Q343" s="51">
        <f>VLOOKUP($L343,TABLE!$I$3:$O$13,Q$2,FALSE)/VLOOKUP($M343,TABLE!$I$3:$O$13,Q$2,FALSE)*I343</f>
        <v>0</v>
      </c>
      <c r="R343" s="51">
        <f>VLOOKUP($L343,TABLE!$I$3:$O$13,R$2,FALSE)/VLOOKUP($M343,TABLE!$I$3:$O$13,R$2,FALSE)*J343</f>
        <v>0</v>
      </c>
    </row>
    <row r="344" spans="2:18">
      <c r="B344" t="s">
        <v>39</v>
      </c>
      <c r="C344" t="s">
        <v>124</v>
      </c>
      <c r="D344" t="s">
        <v>40</v>
      </c>
      <c r="E344" t="s">
        <v>550</v>
      </c>
      <c r="F344" s="51">
        <v>1.7</v>
      </c>
      <c r="G344" s="51">
        <v>1.56</v>
      </c>
      <c r="H344" s="51">
        <v>1.36</v>
      </c>
      <c r="I344" s="51">
        <v>1.47</v>
      </c>
      <c r="J344" s="51">
        <v>1.38</v>
      </c>
      <c r="L344" t="str">
        <f>VLOOKUP(B344,TABLE!D:E,2,FALSE)</f>
        <v>EUR</v>
      </c>
      <c r="M344" t="str">
        <f t="shared" si="5"/>
        <v>USD</v>
      </c>
      <c r="N344" s="51">
        <f>VLOOKUP($L344,TABLE!$I$3:$O$13,N$2,FALSE)/VLOOKUP($M344,TABLE!$I$3:$O$13,N$2,FALSE)*F344</f>
        <v>2.4480019526763153</v>
      </c>
      <c r="O344" s="51">
        <f>VLOOKUP($L344,TABLE!$I$3:$O$13,O$2,FALSE)/VLOOKUP($M344,TABLE!$I$3:$O$13,O$2,FALSE)*G344</f>
        <v>2.0859920777817793</v>
      </c>
      <c r="P344" s="51">
        <f>VLOOKUP($L344,TABLE!$I$3:$O$13,P$2,FALSE)/VLOOKUP($M344,TABLE!$I$3:$O$13,P$2,FALSE)*H344</f>
        <v>1.764853395884423</v>
      </c>
      <c r="Q344" s="51">
        <f>VLOOKUP($L344,TABLE!$I$3:$O$13,Q$2,FALSE)/VLOOKUP($M344,TABLE!$I$3:$O$13,Q$2,FALSE)*I344</f>
        <v>1.9389469048201613</v>
      </c>
      <c r="R344" s="51">
        <f>VLOOKUP($L344,TABLE!$I$3:$O$13,R$2,FALSE)/VLOOKUP($M344,TABLE!$I$3:$O$13,R$2,FALSE)*J344</f>
        <v>1.900695808076496</v>
      </c>
    </row>
    <row r="345" spans="2:18">
      <c r="B345" t="s">
        <v>39</v>
      </c>
      <c r="C345" t="s">
        <v>124</v>
      </c>
      <c r="D345" t="s">
        <v>46</v>
      </c>
      <c r="E345" t="s">
        <v>551</v>
      </c>
      <c r="F345" s="51">
        <v>1.31</v>
      </c>
      <c r="G345" s="51">
        <v>1.45</v>
      </c>
      <c r="H345" s="51">
        <v>0.68400000000000005</v>
      </c>
      <c r="I345" s="51">
        <v>0.82499999999999996</v>
      </c>
      <c r="J345" s="51">
        <v>0.97899999999999998</v>
      </c>
      <c r="L345" t="str">
        <f>VLOOKUP(B345,TABLE!D:E,2,FALSE)</f>
        <v>EUR</v>
      </c>
      <c r="M345" t="str">
        <f t="shared" si="5"/>
        <v>USD</v>
      </c>
      <c r="N345" s="51">
        <f>VLOOKUP($L345,TABLE!$I$3:$O$13,N$2,FALSE)/VLOOKUP($M345,TABLE!$I$3:$O$13,N$2,FALSE)*F345</f>
        <v>1.8864015047093958</v>
      </c>
      <c r="O345" s="51">
        <f>VLOOKUP($L345,TABLE!$I$3:$O$13,O$2,FALSE)/VLOOKUP($M345,TABLE!$I$3:$O$13,O$2,FALSE)*G345</f>
        <v>1.9389028928099872</v>
      </c>
      <c r="P345" s="51">
        <f>VLOOKUP($L345,TABLE!$I$3:$O$13,P$2,FALSE)/VLOOKUP($M345,TABLE!$I$3:$O$13,P$2,FALSE)*H345</f>
        <v>0.88761744322422442</v>
      </c>
      <c r="Q345" s="51">
        <f>VLOOKUP($L345,TABLE!$I$3:$O$13,Q$2,FALSE)/VLOOKUP($M345,TABLE!$I$3:$O$13,Q$2,FALSE)*I345</f>
        <v>1.08818448739907</v>
      </c>
      <c r="R345" s="51">
        <f>VLOOKUP($L345,TABLE!$I$3:$O$13,R$2,FALSE)/VLOOKUP($M345,TABLE!$I$3:$O$13,R$2,FALSE)*J345</f>
        <v>1.3483921710919491</v>
      </c>
    </row>
    <row r="346" spans="2:18">
      <c r="B346" t="s">
        <v>41</v>
      </c>
      <c r="C346" t="s">
        <v>124</v>
      </c>
      <c r="D346" t="s">
        <v>9</v>
      </c>
      <c r="E346" t="s">
        <v>552</v>
      </c>
      <c r="F346" s="51">
        <v>2.25</v>
      </c>
      <c r="G346" s="51">
        <v>4.33</v>
      </c>
      <c r="H346" s="51">
        <v>7.66</v>
      </c>
      <c r="I346" s="51">
        <v>5.72</v>
      </c>
      <c r="J346" s="51">
        <v>4.66</v>
      </c>
      <c r="L346" t="str">
        <f>VLOOKUP(B346,TABLE!D:E,2,FALSE)</f>
        <v>GBP</v>
      </c>
      <c r="M346" t="str">
        <f t="shared" si="5"/>
        <v>USD</v>
      </c>
      <c r="N346" s="51">
        <f>VLOOKUP($L346,TABLE!$I$3:$O$13,N$2,FALSE)/VLOOKUP($M346,TABLE!$I$3:$O$13,N$2,FALSE)*F346</f>
        <v>3.6492720537560306</v>
      </c>
      <c r="O346" s="51">
        <f>VLOOKUP($L346,TABLE!$I$3:$O$13,O$2,FALSE)/VLOOKUP($M346,TABLE!$I$3:$O$13,O$2,FALSE)*G346</f>
        <v>6.7244676509422652</v>
      </c>
      <c r="P346" s="51">
        <f>VLOOKUP($L346,TABLE!$I$3:$O$13,P$2,FALSE)/VLOOKUP($M346,TABLE!$I$3:$O$13,P$2,FALSE)*H346</f>
        <v>11.902851050218574</v>
      </c>
      <c r="Q346" s="51">
        <f>VLOOKUP($L346,TABLE!$I$3:$O$13,Q$2,FALSE)/VLOOKUP($M346,TABLE!$I$3:$O$13,Q$2,FALSE)*I346</f>
        <v>9.2457704918032793</v>
      </c>
      <c r="R346" s="51">
        <f>VLOOKUP($L346,TABLE!$I$3:$O$13,R$2,FALSE)/VLOOKUP($M346,TABLE!$I$3:$O$13,R$2,FALSE)*J346</f>
        <v>7.7039392128404334</v>
      </c>
    </row>
    <row r="347" spans="2:18">
      <c r="B347" t="s">
        <v>41</v>
      </c>
      <c r="C347" t="s">
        <v>124</v>
      </c>
      <c r="D347" t="s">
        <v>11</v>
      </c>
      <c r="E347" t="s">
        <v>553</v>
      </c>
      <c r="F347" s="51">
        <v>1.55</v>
      </c>
      <c r="G347" s="51">
        <v>1.8</v>
      </c>
      <c r="H347" s="51">
        <v>1.74</v>
      </c>
      <c r="I347" s="51">
        <v>1.55</v>
      </c>
      <c r="J347" s="51">
        <v>2.02</v>
      </c>
      <c r="L347" t="str">
        <f>VLOOKUP(B347,TABLE!D:E,2,FALSE)</f>
        <v>GBP</v>
      </c>
      <c r="M347" t="str">
        <f t="shared" si="5"/>
        <v>USD</v>
      </c>
      <c r="N347" s="51">
        <f>VLOOKUP($L347,TABLE!$I$3:$O$13,N$2,FALSE)/VLOOKUP($M347,TABLE!$I$3:$O$13,N$2,FALSE)*F347</f>
        <v>2.5139429703652656</v>
      </c>
      <c r="O347" s="51">
        <f>VLOOKUP($L347,TABLE!$I$3:$O$13,O$2,FALSE)/VLOOKUP($M347,TABLE!$I$3:$O$13,O$2,FALSE)*G347</f>
        <v>2.7953907093986321</v>
      </c>
      <c r="P347" s="51">
        <f>VLOOKUP($L347,TABLE!$I$3:$O$13,P$2,FALSE)/VLOOKUP($M347,TABLE!$I$3:$O$13,P$2,FALSE)*H347</f>
        <v>2.7037807868642711</v>
      </c>
      <c r="Q347" s="51">
        <f>VLOOKUP($L347,TABLE!$I$3:$O$13,Q$2,FALSE)/VLOOKUP($M347,TABLE!$I$3:$O$13,Q$2,FALSE)*I347</f>
        <v>2.5054098360655739</v>
      </c>
      <c r="R347" s="51">
        <f>VLOOKUP($L347,TABLE!$I$3:$O$13,R$2,FALSE)/VLOOKUP($M347,TABLE!$I$3:$O$13,R$2,FALSE)*J347</f>
        <v>3.3394757961239647</v>
      </c>
    </row>
    <row r="348" spans="2:18">
      <c r="B348" t="s">
        <v>41</v>
      </c>
      <c r="C348" t="s">
        <v>124</v>
      </c>
      <c r="D348" t="s">
        <v>13</v>
      </c>
      <c r="E348" t="s">
        <v>554</v>
      </c>
      <c r="F348" s="51">
        <v>1.99</v>
      </c>
      <c r="G348" s="51">
        <v>2.2999999999999998</v>
      </c>
      <c r="H348" s="51">
        <v>2.2599999999999998</v>
      </c>
      <c r="I348" s="51">
        <v>3.08</v>
      </c>
      <c r="J348" s="51">
        <v>2.89</v>
      </c>
      <c r="L348" t="str">
        <f>VLOOKUP(B348,TABLE!D:E,2,FALSE)</f>
        <v>GBP</v>
      </c>
      <c r="M348" t="str">
        <f t="shared" si="5"/>
        <v>USD</v>
      </c>
      <c r="N348" s="51">
        <f>VLOOKUP($L348,TABLE!$I$3:$O$13,N$2,FALSE)/VLOOKUP($M348,TABLE!$I$3:$O$13,N$2,FALSE)*F348</f>
        <v>3.2275783942108891</v>
      </c>
      <c r="O348" s="51">
        <f>VLOOKUP($L348,TABLE!$I$3:$O$13,O$2,FALSE)/VLOOKUP($M348,TABLE!$I$3:$O$13,O$2,FALSE)*G348</f>
        <v>3.5718881286760298</v>
      </c>
      <c r="P348" s="51">
        <f>VLOOKUP($L348,TABLE!$I$3:$O$13,P$2,FALSE)/VLOOKUP($M348,TABLE!$I$3:$O$13,P$2,FALSE)*H348</f>
        <v>3.5118072289156625</v>
      </c>
      <c r="Q348" s="51">
        <f>VLOOKUP($L348,TABLE!$I$3:$O$13,Q$2,FALSE)/VLOOKUP($M348,TABLE!$I$3:$O$13,Q$2,FALSE)*I348</f>
        <v>4.9784918032786889</v>
      </c>
      <c r="R348" s="51">
        <f>VLOOKUP($L348,TABLE!$I$3:$O$13,R$2,FALSE)/VLOOKUP($M348,TABLE!$I$3:$O$13,R$2,FALSE)*J348</f>
        <v>4.7777648766328014</v>
      </c>
    </row>
    <row r="349" spans="2:18">
      <c r="B349" t="s">
        <v>41</v>
      </c>
      <c r="C349" t="s">
        <v>124</v>
      </c>
      <c r="D349" t="s">
        <v>15</v>
      </c>
      <c r="E349" t="s">
        <v>555</v>
      </c>
      <c r="F349" s="51">
        <v>6.45</v>
      </c>
      <c r="G349" s="51">
        <v>9.16</v>
      </c>
      <c r="H349" s="51">
        <v>12.42</v>
      </c>
      <c r="I349" s="51">
        <v>11.1</v>
      </c>
      <c r="J349" s="51">
        <v>9.76</v>
      </c>
      <c r="L349" t="str">
        <f>VLOOKUP(B349,TABLE!D:E,2,FALSE)</f>
        <v>GBP</v>
      </c>
      <c r="M349" t="str">
        <f t="shared" si="5"/>
        <v>USD</v>
      </c>
      <c r="N349" s="51">
        <f>VLOOKUP($L349,TABLE!$I$3:$O$13,N$2,FALSE)/VLOOKUP($M349,TABLE!$I$3:$O$13,N$2,FALSE)*F349</f>
        <v>10.461246554100621</v>
      </c>
      <c r="O349" s="51">
        <f>VLOOKUP($L349,TABLE!$I$3:$O$13,O$2,FALSE)/VLOOKUP($M349,TABLE!$I$3:$O$13,O$2,FALSE)*G349</f>
        <v>14.225432721161928</v>
      </c>
      <c r="P349" s="51">
        <f>VLOOKUP($L349,TABLE!$I$3:$O$13,P$2,FALSE)/VLOOKUP($M349,TABLE!$I$3:$O$13,P$2,FALSE)*H349</f>
        <v>19.299400788996696</v>
      </c>
      <c r="Q349" s="51">
        <f>VLOOKUP($L349,TABLE!$I$3:$O$13,Q$2,FALSE)/VLOOKUP($M349,TABLE!$I$3:$O$13,Q$2,FALSE)*I349</f>
        <v>17.941967213114754</v>
      </c>
      <c r="R349" s="51">
        <f>VLOOKUP($L349,TABLE!$I$3:$O$13,R$2,FALSE)/VLOOKUP($M349,TABLE!$I$3:$O$13,R$2,FALSE)*J349</f>
        <v>16.13528899513361</v>
      </c>
    </row>
    <row r="350" spans="2:18">
      <c r="B350" t="s">
        <v>41</v>
      </c>
      <c r="C350" t="s">
        <v>124</v>
      </c>
      <c r="D350" t="s">
        <v>18</v>
      </c>
      <c r="E350" t="s">
        <v>556</v>
      </c>
      <c r="F350" s="51">
        <v>34.869999999999997</v>
      </c>
      <c r="G350" s="51">
        <v>42.57</v>
      </c>
      <c r="H350" s="51">
        <v>46.61</v>
      </c>
      <c r="I350" s="51">
        <v>48.83</v>
      </c>
      <c r="J350" s="51">
        <v>42.97</v>
      </c>
      <c r="L350" t="str">
        <f>VLOOKUP(B350,TABLE!D:E,2,FALSE)</f>
        <v>GBP</v>
      </c>
      <c r="M350" t="str">
        <f t="shared" si="5"/>
        <v>USD</v>
      </c>
      <c r="N350" s="51">
        <f>VLOOKUP($L350,TABLE!$I$3:$O$13,N$2,FALSE)/VLOOKUP($M350,TABLE!$I$3:$O$13,N$2,FALSE)*F350</f>
        <v>56.555607339765679</v>
      </c>
      <c r="O350" s="51">
        <f>VLOOKUP($L350,TABLE!$I$3:$O$13,O$2,FALSE)/VLOOKUP($M350,TABLE!$I$3:$O$13,O$2,FALSE)*G350</f>
        <v>66.110990277277651</v>
      </c>
      <c r="P350" s="51">
        <f>VLOOKUP($L350,TABLE!$I$3:$O$13,P$2,FALSE)/VLOOKUP($M350,TABLE!$I$3:$O$13,P$2,FALSE)*H350</f>
        <v>72.427139353875688</v>
      </c>
      <c r="Q350" s="51">
        <f>VLOOKUP($L350,TABLE!$I$3:$O$13,Q$2,FALSE)/VLOOKUP($M350,TABLE!$I$3:$O$13,Q$2,FALSE)*I350</f>
        <v>78.928491803278689</v>
      </c>
      <c r="R350" s="51">
        <f>VLOOKUP($L350,TABLE!$I$3:$O$13,R$2,FALSE)/VLOOKUP($M350,TABLE!$I$3:$O$13,R$2,FALSE)*J350</f>
        <v>71.038254930419185</v>
      </c>
    </row>
    <row r="351" spans="2:18">
      <c r="B351" t="s">
        <v>41</v>
      </c>
      <c r="C351" t="s">
        <v>124</v>
      </c>
      <c r="D351" t="s">
        <v>21</v>
      </c>
      <c r="E351" t="s">
        <v>557</v>
      </c>
      <c r="F351" s="51">
        <v>4.18</v>
      </c>
      <c r="G351" s="51">
        <v>5.03</v>
      </c>
      <c r="H351" s="51">
        <v>5.26</v>
      </c>
      <c r="I351" s="51">
        <v>5.42</v>
      </c>
      <c r="J351" s="51">
        <v>5.04</v>
      </c>
      <c r="L351" t="str">
        <f>VLOOKUP(B351,TABLE!D:E,2,FALSE)</f>
        <v>GBP</v>
      </c>
      <c r="M351" t="str">
        <f t="shared" si="5"/>
        <v>USD</v>
      </c>
      <c r="N351" s="51">
        <f>VLOOKUP($L351,TABLE!$I$3:$O$13,N$2,FALSE)/VLOOKUP($M351,TABLE!$I$3:$O$13,N$2,FALSE)*F351</f>
        <v>6.7795365265334251</v>
      </c>
      <c r="O351" s="51">
        <f>VLOOKUP($L351,TABLE!$I$3:$O$13,O$2,FALSE)/VLOOKUP($M351,TABLE!$I$3:$O$13,O$2,FALSE)*G351</f>
        <v>7.8115640379306219</v>
      </c>
      <c r="P351" s="51">
        <f>VLOOKUP($L351,TABLE!$I$3:$O$13,P$2,FALSE)/VLOOKUP($M351,TABLE!$I$3:$O$13,P$2,FALSE)*H351</f>
        <v>8.1734982407506127</v>
      </c>
      <c r="Q351" s="51">
        <f>VLOOKUP($L351,TABLE!$I$3:$O$13,Q$2,FALSE)/VLOOKUP($M351,TABLE!$I$3:$O$13,Q$2,FALSE)*I351</f>
        <v>8.7608524590163945</v>
      </c>
      <c r="R351" s="51">
        <f>VLOOKUP($L351,TABLE!$I$3:$O$13,R$2,FALSE)/VLOOKUP($M351,TABLE!$I$3:$O$13,R$2,FALSE)*J351</f>
        <v>8.3321574319132594</v>
      </c>
    </row>
    <row r="352" spans="2:18">
      <c r="B352" t="s">
        <v>41</v>
      </c>
      <c r="C352" t="s">
        <v>124</v>
      </c>
      <c r="D352" t="s">
        <v>20</v>
      </c>
      <c r="E352" t="s">
        <v>558</v>
      </c>
      <c r="F352" s="51">
        <v>1.82</v>
      </c>
      <c r="G352" s="51">
        <v>1.76</v>
      </c>
      <c r="H352" s="51">
        <v>1.93</v>
      </c>
      <c r="I352" s="51">
        <v>1.66</v>
      </c>
      <c r="J352" s="51">
        <v>2.64</v>
      </c>
      <c r="L352" t="str">
        <f>VLOOKUP(B352,TABLE!D:E,2,FALSE)</f>
        <v>GBP</v>
      </c>
      <c r="M352" t="str">
        <f t="shared" si="5"/>
        <v>USD</v>
      </c>
      <c r="N352" s="51">
        <f>VLOOKUP($L352,TABLE!$I$3:$O$13,N$2,FALSE)/VLOOKUP($M352,TABLE!$I$3:$O$13,N$2,FALSE)*F352</f>
        <v>2.9518556168159891</v>
      </c>
      <c r="O352" s="51">
        <f>VLOOKUP($L352,TABLE!$I$3:$O$13,O$2,FALSE)/VLOOKUP($M352,TABLE!$I$3:$O$13,O$2,FALSE)*G352</f>
        <v>2.7332709158564401</v>
      </c>
      <c r="P352" s="51">
        <f>VLOOKUP($L352,TABLE!$I$3:$O$13,P$2,FALSE)/VLOOKUP($M352,TABLE!$I$3:$O$13,P$2,FALSE)*H352</f>
        <v>2.999021217613818</v>
      </c>
      <c r="Q352" s="51">
        <f>VLOOKUP($L352,TABLE!$I$3:$O$13,Q$2,FALSE)/VLOOKUP($M352,TABLE!$I$3:$O$13,Q$2,FALSE)*I352</f>
        <v>2.6832131147540985</v>
      </c>
      <c r="R352" s="51">
        <f>VLOOKUP($L352,TABLE!$I$3:$O$13,R$2,FALSE)/VLOOKUP($M352,TABLE!$I$3:$O$13,R$2,FALSE)*J352</f>
        <v>4.3644634167164691</v>
      </c>
    </row>
    <row r="353" spans="2:18">
      <c r="B353" t="s">
        <v>41</v>
      </c>
      <c r="C353" t="s">
        <v>124</v>
      </c>
      <c r="D353" t="s">
        <v>25</v>
      </c>
      <c r="E353" t="s">
        <v>559</v>
      </c>
      <c r="F353" s="51">
        <v>17.38</v>
      </c>
      <c r="G353" s="51">
        <v>24.03</v>
      </c>
      <c r="H353" s="51">
        <v>27.56</v>
      </c>
      <c r="I353" s="51">
        <v>26.94</v>
      </c>
      <c r="J353" s="51">
        <v>22.56</v>
      </c>
      <c r="L353" t="str">
        <f>VLOOKUP(B353,TABLE!D:E,2,FALSE)</f>
        <v>GBP</v>
      </c>
      <c r="M353" t="str">
        <f t="shared" si="5"/>
        <v>USD</v>
      </c>
      <c r="N353" s="51">
        <f>VLOOKUP($L353,TABLE!$I$3:$O$13,N$2,FALSE)/VLOOKUP($M353,TABLE!$I$3:$O$13,N$2,FALSE)*F353</f>
        <v>28.188599241902136</v>
      </c>
      <c r="O353" s="51">
        <f>VLOOKUP($L353,TABLE!$I$3:$O$13,O$2,FALSE)/VLOOKUP($M353,TABLE!$I$3:$O$13,O$2,FALSE)*G353</f>
        <v>37.318465970471742</v>
      </c>
      <c r="P353" s="51">
        <f>VLOOKUP($L353,TABLE!$I$3:$O$13,P$2,FALSE)/VLOOKUP($M353,TABLE!$I$3:$O$13,P$2,FALSE)*H353</f>
        <v>42.825401428723744</v>
      </c>
      <c r="Q353" s="51">
        <f>VLOOKUP($L353,TABLE!$I$3:$O$13,Q$2,FALSE)/VLOOKUP($M353,TABLE!$I$3:$O$13,Q$2,FALSE)*I353</f>
        <v>43.545639344262298</v>
      </c>
      <c r="R353" s="51">
        <f>VLOOKUP($L353,TABLE!$I$3:$O$13,R$2,FALSE)/VLOOKUP($M353,TABLE!$I$3:$O$13,R$2,FALSE)*J353</f>
        <v>37.296323742849822</v>
      </c>
    </row>
    <row r="354" spans="2:18">
      <c r="B354" t="s">
        <v>41</v>
      </c>
      <c r="C354" t="s">
        <v>124</v>
      </c>
      <c r="D354" t="s">
        <v>30</v>
      </c>
      <c r="E354" t="s">
        <v>560</v>
      </c>
      <c r="F354" s="51">
        <v>13.37</v>
      </c>
      <c r="G354" s="51">
        <v>18.11</v>
      </c>
      <c r="H354" s="51">
        <v>19.079999999999998</v>
      </c>
      <c r="I354" s="51">
        <v>18.149999999999999</v>
      </c>
      <c r="J354" s="51">
        <v>18.77</v>
      </c>
      <c r="L354" t="str">
        <f>VLOOKUP(B354,TABLE!D:E,2,FALSE)</f>
        <v>GBP</v>
      </c>
      <c r="M354" t="str">
        <f t="shared" si="5"/>
        <v>USD</v>
      </c>
      <c r="N354" s="51">
        <f>VLOOKUP($L354,TABLE!$I$3:$O$13,N$2,FALSE)/VLOOKUP($M354,TABLE!$I$3:$O$13,N$2,FALSE)*F354</f>
        <v>21.684785492763609</v>
      </c>
      <c r="O354" s="51">
        <f>VLOOKUP($L354,TABLE!$I$3:$O$13,O$2,FALSE)/VLOOKUP($M354,TABLE!$I$3:$O$13,O$2,FALSE)*G354</f>
        <v>28.124736526227348</v>
      </c>
      <c r="P354" s="51">
        <f>VLOOKUP($L354,TABLE!$I$3:$O$13,P$2,FALSE)/VLOOKUP($M354,TABLE!$I$3:$O$13,P$2,FALSE)*H354</f>
        <v>29.648354835270283</v>
      </c>
      <c r="Q354" s="51">
        <f>VLOOKUP($L354,TABLE!$I$3:$O$13,Q$2,FALSE)/VLOOKUP($M354,TABLE!$I$3:$O$13,Q$2,FALSE)*I354</f>
        <v>29.337540983606559</v>
      </c>
      <c r="R354" s="51">
        <f>VLOOKUP($L354,TABLE!$I$3:$O$13,R$2,FALSE)/VLOOKUP($M354,TABLE!$I$3:$O$13,R$2,FALSE)*J354</f>
        <v>31.030673610518225</v>
      </c>
    </row>
    <row r="355" spans="2:18">
      <c r="B355" t="s">
        <v>41</v>
      </c>
      <c r="C355" t="s">
        <v>124</v>
      </c>
      <c r="D355" t="s">
        <v>34</v>
      </c>
      <c r="E355" t="s">
        <v>561</v>
      </c>
      <c r="F355" s="51">
        <v>3.46</v>
      </c>
      <c r="G355" s="51">
        <v>7.84</v>
      </c>
      <c r="H355" s="51">
        <v>8.2799999999999994</v>
      </c>
      <c r="I355" s="51">
        <v>6.02</v>
      </c>
      <c r="J355" s="51">
        <v>3.95</v>
      </c>
      <c r="L355" t="str">
        <f>VLOOKUP(B355,TABLE!D:E,2,FALSE)</f>
        <v>GBP</v>
      </c>
      <c r="M355" t="str">
        <f t="shared" si="5"/>
        <v>USD</v>
      </c>
      <c r="N355" s="51">
        <f>VLOOKUP($L355,TABLE!$I$3:$O$13,N$2,FALSE)/VLOOKUP($M355,TABLE!$I$3:$O$13,N$2,FALSE)*F355</f>
        <v>5.6117694693314961</v>
      </c>
      <c r="O355" s="51">
        <f>VLOOKUP($L355,TABLE!$I$3:$O$13,O$2,FALSE)/VLOOKUP($M355,TABLE!$I$3:$O$13,O$2,FALSE)*G355</f>
        <v>12.175479534269597</v>
      </c>
      <c r="P355" s="51">
        <f>VLOOKUP($L355,TABLE!$I$3:$O$13,P$2,FALSE)/VLOOKUP($M355,TABLE!$I$3:$O$13,P$2,FALSE)*H355</f>
        <v>12.866267192664463</v>
      </c>
      <c r="Q355" s="51">
        <f>VLOOKUP($L355,TABLE!$I$3:$O$13,Q$2,FALSE)/VLOOKUP($M355,TABLE!$I$3:$O$13,Q$2,FALSE)*I355</f>
        <v>9.730688524590164</v>
      </c>
      <c r="R355" s="51">
        <f>VLOOKUP($L355,TABLE!$I$3:$O$13,R$2,FALSE)/VLOOKUP($M355,TABLE!$I$3:$O$13,R$2,FALSE)*J355</f>
        <v>6.5301630666780506</v>
      </c>
    </row>
    <row r="356" spans="2:18">
      <c r="B356" t="s">
        <v>41</v>
      </c>
      <c r="C356" t="s">
        <v>124</v>
      </c>
      <c r="D356" t="s">
        <v>48</v>
      </c>
      <c r="E356" t="s">
        <v>562</v>
      </c>
      <c r="F356" s="51">
        <v>1.55</v>
      </c>
      <c r="G356" s="51">
        <v>4.24</v>
      </c>
      <c r="H356" s="51">
        <v>3.85</v>
      </c>
      <c r="I356" s="51">
        <v>-0.94220000000000004</v>
      </c>
      <c r="J356" s="51">
        <v>-0.61480999999999997</v>
      </c>
      <c r="L356" t="str">
        <f>VLOOKUP(B356,TABLE!D:E,2,FALSE)</f>
        <v>GBP</v>
      </c>
      <c r="M356" t="str">
        <f t="shared" si="5"/>
        <v>USD</v>
      </c>
      <c r="N356" s="51">
        <f>VLOOKUP($L356,TABLE!$I$3:$O$13,N$2,FALSE)/VLOOKUP($M356,TABLE!$I$3:$O$13,N$2,FALSE)*F356</f>
        <v>2.5139429703652656</v>
      </c>
      <c r="O356" s="51">
        <f>VLOOKUP($L356,TABLE!$I$3:$O$13,O$2,FALSE)/VLOOKUP($M356,TABLE!$I$3:$O$13,O$2,FALSE)*G356</f>
        <v>6.5846981154723334</v>
      </c>
      <c r="P356" s="51">
        <f>VLOOKUP($L356,TABLE!$I$3:$O$13,P$2,FALSE)/VLOOKUP($M356,TABLE!$I$3:$O$13,P$2,FALSE)*H356</f>
        <v>5.982503465188187</v>
      </c>
      <c r="Q356" s="51">
        <f>VLOOKUP($L356,TABLE!$I$3:$O$13,Q$2,FALSE)/VLOOKUP($M356,TABLE!$I$3:$O$13,Q$2,FALSE)*I356</f>
        <v>-1.5229659016393444</v>
      </c>
      <c r="R356" s="51">
        <f>VLOOKUP($L356,TABLE!$I$3:$O$13,R$2,FALSE)/VLOOKUP($M356,TABLE!$I$3:$O$13,R$2,FALSE)*J356</f>
        <v>-1.016407482284641</v>
      </c>
    </row>
    <row r="357" spans="2:18">
      <c r="B357" t="s">
        <v>41</v>
      </c>
      <c r="C357" t="s">
        <v>124</v>
      </c>
      <c r="D357" t="s">
        <v>50</v>
      </c>
      <c r="E357" t="s">
        <v>563</v>
      </c>
      <c r="F357" s="51">
        <v>2.4</v>
      </c>
      <c r="G357" s="51">
        <v>6.84</v>
      </c>
      <c r="H357" s="51">
        <v>7.2</v>
      </c>
      <c r="I357" s="51">
        <v>4.84</v>
      </c>
      <c r="J357" s="51">
        <v>0</v>
      </c>
      <c r="L357" t="str">
        <f>VLOOKUP(B357,TABLE!D:E,2,FALSE)</f>
        <v>GBP</v>
      </c>
      <c r="M357" t="str">
        <f t="shared" si="5"/>
        <v>USD</v>
      </c>
      <c r="N357" s="51">
        <f>VLOOKUP($L357,TABLE!$I$3:$O$13,N$2,FALSE)/VLOOKUP($M357,TABLE!$I$3:$O$13,N$2,FALSE)*F357</f>
        <v>3.8925568573397658</v>
      </c>
      <c r="O357" s="51">
        <f>VLOOKUP($L357,TABLE!$I$3:$O$13,O$2,FALSE)/VLOOKUP($M357,TABLE!$I$3:$O$13,O$2,FALSE)*G357</f>
        <v>10.622484695714801</v>
      </c>
      <c r="P357" s="51">
        <f>VLOOKUP($L357,TABLE!$I$3:$O$13,P$2,FALSE)/VLOOKUP($M357,TABLE!$I$3:$O$13,P$2,FALSE)*H357</f>
        <v>11.188058428403881</v>
      </c>
      <c r="Q357" s="51">
        <f>VLOOKUP($L357,TABLE!$I$3:$O$13,Q$2,FALSE)/VLOOKUP($M357,TABLE!$I$3:$O$13,Q$2,FALSE)*I357</f>
        <v>7.8233442622950822</v>
      </c>
      <c r="R357" s="51">
        <f>VLOOKUP($L357,TABLE!$I$3:$O$13,R$2,FALSE)/VLOOKUP($M357,TABLE!$I$3:$O$13,R$2,FALSE)*J357</f>
        <v>0</v>
      </c>
    </row>
    <row r="358" spans="2:18">
      <c r="B358" t="s">
        <v>41</v>
      </c>
      <c r="C358" t="s">
        <v>124</v>
      </c>
      <c r="D358" t="s">
        <v>44</v>
      </c>
      <c r="E358" t="s">
        <v>564</v>
      </c>
      <c r="F358" s="51">
        <v>0.33449000000000001</v>
      </c>
      <c r="G358" s="51">
        <v>0.42943000000000003</v>
      </c>
      <c r="H358" s="51">
        <v>0.21146999999999999</v>
      </c>
      <c r="I358" s="51">
        <v>0.28650999999999999</v>
      </c>
      <c r="J358" s="51">
        <v>0.25845999999999997</v>
      </c>
      <c r="L358" t="str">
        <f>VLOOKUP(B358,TABLE!D:E,2,FALSE)</f>
        <v>GBP</v>
      </c>
      <c r="M358" t="str">
        <f t="shared" si="5"/>
        <v>USD</v>
      </c>
      <c r="N358" s="51">
        <f>VLOOKUP($L358,TABLE!$I$3:$O$13,N$2,FALSE)/VLOOKUP($M358,TABLE!$I$3:$O$13,N$2,FALSE)*F358</f>
        <v>0.5425088930048243</v>
      </c>
      <c r="O358" s="51">
        <f>VLOOKUP($L358,TABLE!$I$3:$O$13,O$2,FALSE)/VLOOKUP($M358,TABLE!$I$3:$O$13,O$2,FALSE)*G358</f>
        <v>0.66690257352058591</v>
      </c>
      <c r="P358" s="51">
        <f>VLOOKUP($L358,TABLE!$I$3:$O$13,P$2,FALSE)/VLOOKUP($M358,TABLE!$I$3:$O$13,P$2,FALSE)*H358</f>
        <v>0.32860259942424563</v>
      </c>
      <c r="Q358" s="51">
        <f>VLOOKUP($L358,TABLE!$I$3:$O$13,Q$2,FALSE)/VLOOKUP($M358,TABLE!$I$3:$O$13,Q$2,FALSE)*I358</f>
        <v>0.46311288524590166</v>
      </c>
      <c r="R358" s="51">
        <f>VLOOKUP($L358,TABLE!$I$3:$O$13,R$2,FALSE)/VLOOKUP($M358,TABLE!$I$3:$O$13,R$2,FALSE)*J358</f>
        <v>0.42728758131990091</v>
      </c>
    </row>
    <row r="359" spans="2:18">
      <c r="B359" t="s">
        <v>41</v>
      </c>
      <c r="C359" t="s">
        <v>124</v>
      </c>
      <c r="D359" t="s">
        <v>42</v>
      </c>
      <c r="E359" t="s">
        <v>565</v>
      </c>
      <c r="F359" s="51">
        <v>0.21402000000000002</v>
      </c>
      <c r="G359" s="51">
        <v>0.21568000000000001</v>
      </c>
      <c r="H359" s="51">
        <v>0.25575999999999999</v>
      </c>
      <c r="I359" s="51">
        <v>0.21646000000000001</v>
      </c>
      <c r="J359" s="51">
        <v>0</v>
      </c>
      <c r="L359" t="str">
        <f>VLOOKUP(B359,TABLE!D:E,2,FALSE)</f>
        <v>GBP</v>
      </c>
      <c r="M359" t="str">
        <f t="shared" si="5"/>
        <v>USD</v>
      </c>
      <c r="N359" s="51">
        <f>VLOOKUP($L359,TABLE!$I$3:$O$13,N$2,FALSE)/VLOOKUP($M359,TABLE!$I$3:$O$13,N$2,FALSE)*F359</f>
        <v>0.34711875775327367</v>
      </c>
      <c r="O359" s="51">
        <f>VLOOKUP($L359,TABLE!$I$3:$O$13,O$2,FALSE)/VLOOKUP($M359,TABLE!$I$3:$O$13,O$2,FALSE)*G359</f>
        <v>0.33494992677949831</v>
      </c>
      <c r="P359" s="51">
        <f>VLOOKUP($L359,TABLE!$I$3:$O$13,P$2,FALSE)/VLOOKUP($M359,TABLE!$I$3:$O$13,P$2,FALSE)*H359</f>
        <v>0.39742469772896899</v>
      </c>
      <c r="Q359" s="51">
        <f>VLOOKUP($L359,TABLE!$I$3:$O$13,Q$2,FALSE)/VLOOKUP($M359,TABLE!$I$3:$O$13,Q$2,FALSE)*I359</f>
        <v>0.349884524590164</v>
      </c>
      <c r="R359" s="51">
        <f>VLOOKUP($L359,TABLE!$I$3:$O$13,R$2,FALSE)/VLOOKUP($M359,TABLE!$I$3:$O$13,R$2,FALSE)*J359</f>
        <v>0</v>
      </c>
    </row>
    <row r="360" spans="2:18">
      <c r="B360" t="s">
        <v>41</v>
      </c>
      <c r="C360" t="s">
        <v>124</v>
      </c>
      <c r="D360" t="s">
        <v>145</v>
      </c>
      <c r="E360" t="s">
        <v>566</v>
      </c>
      <c r="F360" s="51"/>
      <c r="G360" s="51"/>
      <c r="H360" s="51"/>
      <c r="I360" s="51"/>
      <c r="J360" s="51"/>
      <c r="L360" t="str">
        <f>VLOOKUP(B360,TABLE!D:E,2,FALSE)</f>
        <v>GBP</v>
      </c>
      <c r="M360" t="str">
        <f t="shared" si="5"/>
        <v>USD</v>
      </c>
      <c r="N360" s="51">
        <f>VLOOKUP($L360,TABLE!$I$3:$O$13,N$2,FALSE)/VLOOKUP($M360,TABLE!$I$3:$O$13,N$2,FALSE)*F360</f>
        <v>0</v>
      </c>
      <c r="O360" s="51">
        <f>VLOOKUP($L360,TABLE!$I$3:$O$13,O$2,FALSE)/VLOOKUP($M360,TABLE!$I$3:$O$13,O$2,FALSE)*G360</f>
        <v>0</v>
      </c>
      <c r="P360" s="51">
        <f>VLOOKUP($L360,TABLE!$I$3:$O$13,P$2,FALSE)/VLOOKUP($M360,TABLE!$I$3:$O$13,P$2,FALSE)*H360</f>
        <v>0</v>
      </c>
      <c r="Q360" s="51">
        <f>VLOOKUP($L360,TABLE!$I$3:$O$13,Q$2,FALSE)/VLOOKUP($M360,TABLE!$I$3:$O$13,Q$2,FALSE)*I360</f>
        <v>0</v>
      </c>
      <c r="R360" s="51">
        <f>VLOOKUP($L360,TABLE!$I$3:$O$13,R$2,FALSE)/VLOOKUP($M360,TABLE!$I$3:$O$13,R$2,FALSE)*J360</f>
        <v>0</v>
      </c>
    </row>
    <row r="361" spans="2:18">
      <c r="B361" t="s">
        <v>41</v>
      </c>
      <c r="C361" t="s">
        <v>124</v>
      </c>
      <c r="D361" t="s">
        <v>36</v>
      </c>
      <c r="E361" t="s">
        <v>567</v>
      </c>
      <c r="F361" s="51">
        <v>2.0499999999999998</v>
      </c>
      <c r="G361" s="51">
        <v>2.2999999999999998</v>
      </c>
      <c r="H361" s="51">
        <v>2.38</v>
      </c>
      <c r="I361" s="51">
        <v>2.62</v>
      </c>
      <c r="J361" s="51">
        <v>0</v>
      </c>
      <c r="L361" t="str">
        <f>VLOOKUP(B361,TABLE!D:E,2,FALSE)</f>
        <v>GBP</v>
      </c>
      <c r="M361" t="str">
        <f t="shared" si="5"/>
        <v>USD</v>
      </c>
      <c r="N361" s="51">
        <f>VLOOKUP($L361,TABLE!$I$3:$O$13,N$2,FALSE)/VLOOKUP($M361,TABLE!$I$3:$O$13,N$2,FALSE)*F361</f>
        <v>3.3248923156443833</v>
      </c>
      <c r="O361" s="51">
        <f>VLOOKUP($L361,TABLE!$I$3:$O$13,O$2,FALSE)/VLOOKUP($M361,TABLE!$I$3:$O$13,O$2,FALSE)*G361</f>
        <v>3.5718881286760298</v>
      </c>
      <c r="P361" s="51">
        <f>VLOOKUP($L361,TABLE!$I$3:$O$13,P$2,FALSE)/VLOOKUP($M361,TABLE!$I$3:$O$13,P$2,FALSE)*H361</f>
        <v>3.6982748693890608</v>
      </c>
      <c r="Q361" s="51">
        <f>VLOOKUP($L361,TABLE!$I$3:$O$13,Q$2,FALSE)/VLOOKUP($M361,TABLE!$I$3:$O$13,Q$2,FALSE)*I361</f>
        <v>4.2349508196721315</v>
      </c>
      <c r="R361" s="51">
        <f>VLOOKUP($L361,TABLE!$I$3:$O$13,R$2,FALSE)/VLOOKUP($M361,TABLE!$I$3:$O$13,R$2,FALSE)*J361</f>
        <v>0</v>
      </c>
    </row>
    <row r="362" spans="2:18">
      <c r="B362" t="s">
        <v>41</v>
      </c>
      <c r="C362" t="s">
        <v>124</v>
      </c>
      <c r="D362" t="s">
        <v>38</v>
      </c>
      <c r="E362" t="s">
        <v>568</v>
      </c>
      <c r="F362" s="51">
        <v>2.179E-2</v>
      </c>
      <c r="G362" s="51">
        <v>1.8780000000000002E-2</v>
      </c>
      <c r="H362" s="51">
        <v>2.3699999999999999E-2</v>
      </c>
      <c r="I362" s="51">
        <v>5.049E-2</v>
      </c>
      <c r="J362" s="51">
        <v>0</v>
      </c>
      <c r="L362" t="str">
        <f>VLOOKUP(B362,TABLE!D:E,2,FALSE)</f>
        <v>GBP</v>
      </c>
      <c r="M362" t="str">
        <f t="shared" si="5"/>
        <v>USD</v>
      </c>
      <c r="N362" s="51">
        <f>VLOOKUP($L362,TABLE!$I$3:$O$13,N$2,FALSE)/VLOOKUP($M362,TABLE!$I$3:$O$13,N$2,FALSE)*F362</f>
        <v>3.5341172467263961E-2</v>
      </c>
      <c r="O362" s="51">
        <f>VLOOKUP($L362,TABLE!$I$3:$O$13,O$2,FALSE)/VLOOKUP($M362,TABLE!$I$3:$O$13,O$2,FALSE)*G362</f>
        <v>2.9165243068059062E-2</v>
      </c>
      <c r="P362" s="51">
        <f>VLOOKUP($L362,TABLE!$I$3:$O$13,P$2,FALSE)/VLOOKUP($M362,TABLE!$I$3:$O$13,P$2,FALSE)*H362</f>
        <v>3.6827358993496109E-2</v>
      </c>
      <c r="Q362" s="51">
        <f>VLOOKUP($L362,TABLE!$I$3:$O$13,Q$2,FALSE)/VLOOKUP($M362,TABLE!$I$3:$O$13,Q$2,FALSE)*I362</f>
        <v>8.1611704918032796E-2</v>
      </c>
      <c r="R362" s="51">
        <f>VLOOKUP($L362,TABLE!$I$3:$O$13,R$2,FALSE)/VLOOKUP($M362,TABLE!$I$3:$O$13,R$2,FALSE)*J362</f>
        <v>0</v>
      </c>
    </row>
    <row r="363" spans="2:18">
      <c r="B363" t="s">
        <v>41</v>
      </c>
      <c r="C363" t="s">
        <v>124</v>
      </c>
      <c r="D363" t="s">
        <v>40</v>
      </c>
      <c r="E363" t="s">
        <v>569</v>
      </c>
      <c r="F363" s="51">
        <v>2.02</v>
      </c>
      <c r="G363" s="51">
        <v>2.2799999999999998</v>
      </c>
      <c r="H363" s="51">
        <v>2.36</v>
      </c>
      <c r="I363" s="51">
        <v>2.57</v>
      </c>
      <c r="J363" s="51">
        <v>0</v>
      </c>
      <c r="L363" t="str">
        <f>VLOOKUP(B363,TABLE!D:E,2,FALSE)</f>
        <v>GBP</v>
      </c>
      <c r="M363" t="str">
        <f t="shared" si="5"/>
        <v>USD</v>
      </c>
      <c r="N363" s="51">
        <f>VLOOKUP($L363,TABLE!$I$3:$O$13,N$2,FALSE)/VLOOKUP($M363,TABLE!$I$3:$O$13,N$2,FALSE)*F363</f>
        <v>3.2762353549276364</v>
      </c>
      <c r="O363" s="51">
        <f>VLOOKUP($L363,TABLE!$I$3:$O$13,O$2,FALSE)/VLOOKUP($M363,TABLE!$I$3:$O$13,O$2,FALSE)*G363</f>
        <v>3.5408282319049338</v>
      </c>
      <c r="P363" s="51">
        <f>VLOOKUP($L363,TABLE!$I$3:$O$13,P$2,FALSE)/VLOOKUP($M363,TABLE!$I$3:$O$13,P$2,FALSE)*H363</f>
        <v>3.6671969293101609</v>
      </c>
      <c r="Q363" s="51">
        <f>VLOOKUP($L363,TABLE!$I$3:$O$13,Q$2,FALSE)/VLOOKUP($M363,TABLE!$I$3:$O$13,Q$2,FALSE)*I363</f>
        <v>4.1541311475409834</v>
      </c>
      <c r="R363" s="51">
        <f>VLOOKUP($L363,TABLE!$I$3:$O$13,R$2,FALSE)/VLOOKUP($M363,TABLE!$I$3:$O$13,R$2,FALSE)*J363</f>
        <v>0</v>
      </c>
    </row>
    <row r="364" spans="2:18">
      <c r="B364" t="s">
        <v>41</v>
      </c>
      <c r="C364" t="s">
        <v>124</v>
      </c>
      <c r="D364" t="s">
        <v>46</v>
      </c>
      <c r="E364" t="s">
        <v>570</v>
      </c>
      <c r="F364" s="51">
        <v>2.5299999999999998</v>
      </c>
      <c r="G364" s="51">
        <v>6.55</v>
      </c>
      <c r="H364" s="51">
        <v>6.12</v>
      </c>
      <c r="I364" s="51">
        <v>-0.42344999999999999</v>
      </c>
      <c r="J364" s="51">
        <v>0.98011000000000004</v>
      </c>
      <c r="L364" t="str">
        <f>VLOOKUP(B364,TABLE!D:E,2,FALSE)</f>
        <v>GBP</v>
      </c>
      <c r="M364" t="str">
        <f t="shared" si="5"/>
        <v>USD</v>
      </c>
      <c r="N364" s="51">
        <f>VLOOKUP($L364,TABLE!$I$3:$O$13,N$2,FALSE)/VLOOKUP($M364,TABLE!$I$3:$O$13,N$2,FALSE)*F364</f>
        <v>4.1034036871123361</v>
      </c>
      <c r="O364" s="51">
        <f>VLOOKUP($L364,TABLE!$I$3:$O$13,O$2,FALSE)/VLOOKUP($M364,TABLE!$I$3:$O$13,O$2,FALSE)*G364</f>
        <v>10.172116192533911</v>
      </c>
      <c r="P364" s="51">
        <f>VLOOKUP($L364,TABLE!$I$3:$O$13,P$2,FALSE)/VLOOKUP($M364,TABLE!$I$3:$O$13,P$2,FALSE)*H364</f>
        <v>9.5098496641432995</v>
      </c>
      <c r="Q364" s="51">
        <f>VLOOKUP($L364,TABLE!$I$3:$O$13,Q$2,FALSE)/VLOOKUP($M364,TABLE!$I$3:$O$13,Q$2,FALSE)*I364</f>
        <v>-0.68446180327868855</v>
      </c>
      <c r="R364" s="51">
        <f>VLOOKUP($L364,TABLE!$I$3:$O$13,R$2,FALSE)/VLOOKUP($M364,TABLE!$I$3:$O$13,R$2,FALSE)*J364</f>
        <v>1.6203235755143857</v>
      </c>
    </row>
    <row r="365" spans="2:18">
      <c r="B365" t="s">
        <v>43</v>
      </c>
      <c r="C365" t="s">
        <v>124</v>
      </c>
      <c r="D365" t="s">
        <v>9</v>
      </c>
      <c r="E365" t="s">
        <v>571</v>
      </c>
      <c r="F365" s="51">
        <v>1.4</v>
      </c>
      <c r="G365" s="51">
        <v>1.87</v>
      </c>
      <c r="H365" s="51">
        <v>1.35</v>
      </c>
      <c r="I365" s="51">
        <v>1.52</v>
      </c>
      <c r="J365" s="51">
        <v>1.65</v>
      </c>
      <c r="L365" t="str">
        <f>VLOOKUP(B365,TABLE!D:E,2,FALSE)</f>
        <v>CAD</v>
      </c>
      <c r="M365" t="str">
        <f t="shared" si="5"/>
        <v>USD</v>
      </c>
      <c r="N365" s="51">
        <f>VLOOKUP($L365,TABLE!$I$3:$O$13,N$2,FALSE)/VLOOKUP($M365,TABLE!$I$3:$O$13,N$2,FALSE)*F365</f>
        <v>1.3335860326211808</v>
      </c>
      <c r="O365" s="51">
        <f>VLOOKUP($L365,TABLE!$I$3:$O$13,O$2,FALSE)/VLOOKUP($M365,TABLE!$I$3:$O$13,O$2,FALSE)*G365</f>
        <v>1.87426479414236</v>
      </c>
      <c r="P365" s="51">
        <f>VLOOKUP($L365,TABLE!$I$3:$O$13,P$2,FALSE)/VLOOKUP($M365,TABLE!$I$3:$O$13,P$2,FALSE)*H365</f>
        <v>1.3243069623627255</v>
      </c>
      <c r="Q365" s="51">
        <f>VLOOKUP($L365,TABLE!$I$3:$O$13,Q$2,FALSE)/VLOOKUP($M365,TABLE!$I$3:$O$13,Q$2,FALSE)*I365</f>
        <v>1.528256422804013</v>
      </c>
      <c r="R365" s="51">
        <f>VLOOKUP($L365,TABLE!$I$3:$O$13,R$2,FALSE)/VLOOKUP($M365,TABLE!$I$3:$O$13,R$2,FALSE)*J365</f>
        <v>1.5517437889524459</v>
      </c>
    </row>
    <row r="366" spans="2:18">
      <c r="B366" t="s">
        <v>43</v>
      </c>
      <c r="C366" t="s">
        <v>124</v>
      </c>
      <c r="D366" t="s">
        <v>11</v>
      </c>
      <c r="E366" t="s">
        <v>572</v>
      </c>
      <c r="F366" s="51">
        <v>3.21</v>
      </c>
      <c r="G366" s="51">
        <v>3.52</v>
      </c>
      <c r="H366" s="51">
        <v>4.4800000000000004</v>
      </c>
      <c r="I366" s="51">
        <v>4.75</v>
      </c>
      <c r="J366" s="51">
        <v>5.57</v>
      </c>
      <c r="L366" t="str">
        <f>VLOOKUP(B366,TABLE!D:E,2,FALSE)</f>
        <v>CAD</v>
      </c>
      <c r="M366" t="str">
        <f t="shared" si="5"/>
        <v>USD</v>
      </c>
      <c r="N366" s="51">
        <f>VLOOKUP($L366,TABLE!$I$3:$O$13,N$2,FALSE)/VLOOKUP($M366,TABLE!$I$3:$O$13,N$2,FALSE)*F366</f>
        <v>3.0577222605099932</v>
      </c>
      <c r="O366" s="51">
        <f>VLOOKUP($L366,TABLE!$I$3:$O$13,O$2,FALSE)/VLOOKUP($M366,TABLE!$I$3:$O$13,O$2,FALSE)*G366</f>
        <v>3.5280278477973837</v>
      </c>
      <c r="P366" s="51">
        <f>VLOOKUP($L366,TABLE!$I$3:$O$13,P$2,FALSE)/VLOOKUP($M366,TABLE!$I$3:$O$13,P$2,FALSE)*H366</f>
        <v>4.3947371788037106</v>
      </c>
      <c r="Q366" s="51">
        <f>VLOOKUP($L366,TABLE!$I$3:$O$13,Q$2,FALSE)/VLOOKUP($M366,TABLE!$I$3:$O$13,Q$2,FALSE)*I366</f>
        <v>4.7758013212625405</v>
      </c>
      <c r="R366" s="51">
        <f>VLOOKUP($L366,TABLE!$I$3:$O$13,R$2,FALSE)/VLOOKUP($M366,TABLE!$I$3:$O$13,R$2,FALSE)*J366</f>
        <v>5.2383108511909846</v>
      </c>
    </row>
    <row r="367" spans="2:18">
      <c r="B367" t="s">
        <v>43</v>
      </c>
      <c r="C367" t="s">
        <v>124</v>
      </c>
      <c r="D367" t="s">
        <v>13</v>
      </c>
      <c r="E367" t="s">
        <v>573</v>
      </c>
      <c r="F367" s="51">
        <v>1.8</v>
      </c>
      <c r="G367" s="51">
        <v>1.81</v>
      </c>
      <c r="H367" s="51">
        <v>2.08</v>
      </c>
      <c r="I367" s="51">
        <v>2.5</v>
      </c>
      <c r="J367" s="51">
        <v>2.8</v>
      </c>
      <c r="L367" t="str">
        <f>VLOOKUP(B367,TABLE!D:E,2,FALSE)</f>
        <v>CAD</v>
      </c>
      <c r="M367" t="str">
        <f t="shared" si="5"/>
        <v>USD</v>
      </c>
      <c r="N367" s="51">
        <f>VLOOKUP($L367,TABLE!$I$3:$O$13,N$2,FALSE)/VLOOKUP($M367,TABLE!$I$3:$O$13,N$2,FALSE)*F367</f>
        <v>1.7146106133700898</v>
      </c>
      <c r="O367" s="51">
        <f>VLOOKUP($L367,TABLE!$I$3:$O$13,O$2,FALSE)/VLOOKUP($M367,TABLE!$I$3:$O$13,O$2,FALSE)*G367</f>
        <v>1.814127955827632</v>
      </c>
      <c r="P367" s="51">
        <f>VLOOKUP($L367,TABLE!$I$3:$O$13,P$2,FALSE)/VLOOKUP($M367,TABLE!$I$3:$O$13,P$2,FALSE)*H367</f>
        <v>2.0404136901588656</v>
      </c>
      <c r="Q367" s="51">
        <f>VLOOKUP($L367,TABLE!$I$3:$O$13,Q$2,FALSE)/VLOOKUP($M367,TABLE!$I$3:$O$13,Q$2,FALSE)*I367</f>
        <v>2.5135796427697583</v>
      </c>
      <c r="R367" s="51">
        <f>VLOOKUP($L367,TABLE!$I$3:$O$13,R$2,FALSE)/VLOOKUP($M367,TABLE!$I$3:$O$13,R$2,FALSE)*J367</f>
        <v>2.6332621873132416</v>
      </c>
    </row>
    <row r="368" spans="2:18">
      <c r="B368" t="s">
        <v>43</v>
      </c>
      <c r="C368" t="s">
        <v>124</v>
      </c>
      <c r="D368" t="s">
        <v>15</v>
      </c>
      <c r="E368" t="s">
        <v>574</v>
      </c>
      <c r="F368" s="51">
        <v>6.61</v>
      </c>
      <c r="G368" s="51">
        <v>7.44</v>
      </c>
      <c r="H368" s="51">
        <v>8.2899999999999991</v>
      </c>
      <c r="I368" s="51">
        <v>9.1</v>
      </c>
      <c r="J368" s="51">
        <v>10.54</v>
      </c>
      <c r="L368" t="str">
        <f>VLOOKUP(B368,TABLE!D:E,2,FALSE)</f>
        <v>CAD</v>
      </c>
      <c r="M368" t="str">
        <f t="shared" si="5"/>
        <v>USD</v>
      </c>
      <c r="N368" s="51">
        <f>VLOOKUP($L368,TABLE!$I$3:$O$13,N$2,FALSE)/VLOOKUP($M368,TABLE!$I$3:$O$13,N$2,FALSE)*F368</f>
        <v>6.2964311968757185</v>
      </c>
      <c r="O368" s="51">
        <f>VLOOKUP($L368,TABLE!$I$3:$O$13,O$2,FALSE)/VLOOKUP($M368,TABLE!$I$3:$O$13,O$2,FALSE)*G368</f>
        <v>7.4569679510262885</v>
      </c>
      <c r="P368" s="51">
        <f>VLOOKUP($L368,TABLE!$I$3:$O$13,P$2,FALSE)/VLOOKUP($M368,TABLE!$I$3:$O$13,P$2,FALSE)*H368</f>
        <v>8.132225717027401</v>
      </c>
      <c r="Q368" s="51">
        <f>VLOOKUP($L368,TABLE!$I$3:$O$13,Q$2,FALSE)/VLOOKUP($M368,TABLE!$I$3:$O$13,Q$2,FALSE)*I368</f>
        <v>9.1494298996819197</v>
      </c>
      <c r="R368" s="51">
        <f>VLOOKUP($L368,TABLE!$I$3:$O$13,R$2,FALSE)/VLOOKUP($M368,TABLE!$I$3:$O$13,R$2,FALSE)*J368</f>
        <v>9.9123512336719877</v>
      </c>
    </row>
    <row r="369" spans="2:18">
      <c r="B369" t="s">
        <v>43</v>
      </c>
      <c r="C369" t="s">
        <v>124</v>
      </c>
      <c r="D369" t="s">
        <v>18</v>
      </c>
      <c r="E369" t="s">
        <v>575</v>
      </c>
      <c r="F369" s="51">
        <v>12.9</v>
      </c>
      <c r="G369" s="51">
        <v>13.59</v>
      </c>
      <c r="H369" s="51">
        <v>14.95</v>
      </c>
      <c r="I369" s="51">
        <v>17.04</v>
      </c>
      <c r="J369" s="51">
        <v>19.11</v>
      </c>
      <c r="L369" t="str">
        <f>VLOOKUP(B369,TABLE!D:E,2,FALSE)</f>
        <v>CAD</v>
      </c>
      <c r="M369" t="str">
        <f t="shared" si="5"/>
        <v>USD</v>
      </c>
      <c r="N369" s="51">
        <f>VLOOKUP($L369,TABLE!$I$3:$O$13,N$2,FALSE)/VLOOKUP($M369,TABLE!$I$3:$O$13,N$2,FALSE)*F369</f>
        <v>12.288042729152309</v>
      </c>
      <c r="O369" s="51">
        <f>VLOOKUP($L369,TABLE!$I$3:$O$13,O$2,FALSE)/VLOOKUP($M369,TABLE!$I$3:$O$13,O$2,FALSE)*G369</f>
        <v>13.620993878285921</v>
      </c>
      <c r="P369" s="51">
        <f>VLOOKUP($L369,TABLE!$I$3:$O$13,P$2,FALSE)/VLOOKUP($M369,TABLE!$I$3:$O$13,P$2,FALSE)*H369</f>
        <v>14.665473398016847</v>
      </c>
      <c r="Q369" s="51">
        <f>VLOOKUP($L369,TABLE!$I$3:$O$13,Q$2,FALSE)/VLOOKUP($M369,TABLE!$I$3:$O$13,Q$2,FALSE)*I369</f>
        <v>17.13255884511867</v>
      </c>
      <c r="R369" s="51">
        <f>VLOOKUP($L369,TABLE!$I$3:$O$13,R$2,FALSE)/VLOOKUP($M369,TABLE!$I$3:$O$13,R$2,FALSE)*J369</f>
        <v>17.972014428412873</v>
      </c>
    </row>
    <row r="370" spans="2:18">
      <c r="B370" t="s">
        <v>43</v>
      </c>
      <c r="C370" t="s">
        <v>124</v>
      </c>
      <c r="D370" t="s">
        <v>21</v>
      </c>
      <c r="E370" t="s">
        <v>576</v>
      </c>
      <c r="F370" s="51">
        <v>4.51</v>
      </c>
      <c r="G370" s="51">
        <v>4.9400000000000004</v>
      </c>
      <c r="H370" s="51">
        <v>5.83</v>
      </c>
      <c r="I370" s="51">
        <v>6.66</v>
      </c>
      <c r="J370" s="51">
        <v>7.77</v>
      </c>
      <c r="L370" t="str">
        <f>VLOOKUP(B370,TABLE!D:E,2,FALSE)</f>
        <v>CAD</v>
      </c>
      <c r="M370" t="str">
        <f t="shared" si="5"/>
        <v>USD</v>
      </c>
      <c r="N370" s="51">
        <f>VLOOKUP($L370,TABLE!$I$3:$O$13,N$2,FALSE)/VLOOKUP($M370,TABLE!$I$3:$O$13,N$2,FALSE)*F370</f>
        <v>4.2960521479439464</v>
      </c>
      <c r="O370" s="51">
        <f>VLOOKUP($L370,TABLE!$I$3:$O$13,O$2,FALSE)/VLOOKUP($M370,TABLE!$I$3:$O$13,O$2,FALSE)*G370</f>
        <v>4.9512663545792828</v>
      </c>
      <c r="P370" s="51">
        <f>VLOOKUP($L370,TABLE!$I$3:$O$13,P$2,FALSE)/VLOOKUP($M370,TABLE!$I$3:$O$13,P$2,FALSE)*H370</f>
        <v>5.7190441411664361</v>
      </c>
      <c r="Q370" s="51">
        <f>VLOOKUP($L370,TABLE!$I$3:$O$13,Q$2,FALSE)/VLOOKUP($M370,TABLE!$I$3:$O$13,Q$2,FALSE)*I370</f>
        <v>6.6961761683386358</v>
      </c>
      <c r="R370" s="51">
        <f>VLOOKUP($L370,TABLE!$I$3:$O$13,R$2,FALSE)/VLOOKUP($M370,TABLE!$I$3:$O$13,R$2,FALSE)*J370</f>
        <v>7.3073025697942455</v>
      </c>
    </row>
    <row r="371" spans="2:18">
      <c r="B371" t="s">
        <v>43</v>
      </c>
      <c r="C371" t="s">
        <v>124</v>
      </c>
      <c r="D371" t="s">
        <v>20</v>
      </c>
      <c r="E371" t="s">
        <v>577</v>
      </c>
      <c r="F371" s="51">
        <v>3.15</v>
      </c>
      <c r="G371" s="51">
        <v>3.47</v>
      </c>
      <c r="H371" s="51">
        <v>4.03</v>
      </c>
      <c r="I371" s="51">
        <v>4.43</v>
      </c>
      <c r="J371" s="51">
        <v>5.08</v>
      </c>
      <c r="L371" t="str">
        <f>VLOOKUP(B371,TABLE!D:E,2,FALSE)</f>
        <v>CAD</v>
      </c>
      <c r="M371" t="str">
        <f t="shared" si="5"/>
        <v>USD</v>
      </c>
      <c r="N371" s="51">
        <f>VLOOKUP($L371,TABLE!$I$3:$O$13,N$2,FALSE)/VLOOKUP($M371,TABLE!$I$3:$O$13,N$2,FALSE)*F371</f>
        <v>3.0005685733976568</v>
      </c>
      <c r="O371" s="51">
        <f>VLOOKUP($L371,TABLE!$I$3:$O$13,O$2,FALSE)/VLOOKUP($M371,TABLE!$I$3:$O$13,O$2,FALSE)*G371</f>
        <v>3.4779138158684435</v>
      </c>
      <c r="P371" s="51">
        <f>VLOOKUP($L371,TABLE!$I$3:$O$13,P$2,FALSE)/VLOOKUP($M371,TABLE!$I$3:$O$13,P$2,FALSE)*H371</f>
        <v>3.9533015246828023</v>
      </c>
      <c r="Q371" s="51">
        <f>VLOOKUP($L371,TABLE!$I$3:$O$13,Q$2,FALSE)/VLOOKUP($M371,TABLE!$I$3:$O$13,Q$2,FALSE)*I371</f>
        <v>4.4540631269880109</v>
      </c>
      <c r="R371" s="51">
        <f>VLOOKUP($L371,TABLE!$I$3:$O$13,R$2,FALSE)/VLOOKUP($M371,TABLE!$I$3:$O$13,R$2,FALSE)*J371</f>
        <v>4.7774899684111674</v>
      </c>
    </row>
    <row r="372" spans="2:18">
      <c r="B372" t="s">
        <v>43</v>
      </c>
      <c r="C372" t="s">
        <v>124</v>
      </c>
      <c r="D372" t="s">
        <v>25</v>
      </c>
      <c r="E372" t="s">
        <v>578</v>
      </c>
      <c r="F372" s="51">
        <v>7.72</v>
      </c>
      <c r="G372" s="51">
        <v>7.98</v>
      </c>
      <c r="H372" s="51">
        <v>8.35</v>
      </c>
      <c r="I372" s="51">
        <v>9.42</v>
      </c>
      <c r="J372" s="51">
        <v>10.24</v>
      </c>
      <c r="L372" t="str">
        <f>VLOOKUP(B372,TABLE!D:E,2,FALSE)</f>
        <v>CAD</v>
      </c>
      <c r="M372" t="str">
        <f t="shared" si="5"/>
        <v>USD</v>
      </c>
      <c r="N372" s="51">
        <f>VLOOKUP($L372,TABLE!$I$3:$O$13,N$2,FALSE)/VLOOKUP($M372,TABLE!$I$3:$O$13,N$2,FALSE)*F372</f>
        <v>7.3537744084539396</v>
      </c>
      <c r="O372" s="51">
        <f>VLOOKUP($L372,TABLE!$I$3:$O$13,O$2,FALSE)/VLOOKUP($M372,TABLE!$I$3:$O$13,O$2,FALSE)*G372</f>
        <v>7.9981994958588416</v>
      </c>
      <c r="P372" s="51">
        <f>VLOOKUP($L372,TABLE!$I$3:$O$13,P$2,FALSE)/VLOOKUP($M372,TABLE!$I$3:$O$13,P$2,FALSE)*H372</f>
        <v>8.1910838042435223</v>
      </c>
      <c r="Q372" s="51">
        <f>VLOOKUP($L372,TABLE!$I$3:$O$13,Q$2,FALSE)/VLOOKUP($M372,TABLE!$I$3:$O$13,Q$2,FALSE)*I372</f>
        <v>9.4711680939564484</v>
      </c>
      <c r="R372" s="51">
        <f>VLOOKUP($L372,TABLE!$I$3:$O$13,R$2,FALSE)/VLOOKUP($M372,TABLE!$I$3:$O$13,R$2,FALSE)*J372</f>
        <v>9.6302159993169987</v>
      </c>
    </row>
    <row r="373" spans="2:18">
      <c r="B373" t="s">
        <v>43</v>
      </c>
      <c r="C373" t="s">
        <v>124</v>
      </c>
      <c r="D373" t="s">
        <v>30</v>
      </c>
      <c r="E373" t="s">
        <v>579</v>
      </c>
      <c r="F373" s="51">
        <v>19.809999999999999</v>
      </c>
      <c r="G373" s="51">
        <v>24.17</v>
      </c>
      <c r="H373" s="51">
        <v>28.44</v>
      </c>
      <c r="I373" s="51">
        <v>30.83</v>
      </c>
      <c r="J373" s="51">
        <v>35.89</v>
      </c>
      <c r="L373" t="str">
        <f>VLOOKUP(B373,TABLE!D:E,2,FALSE)</f>
        <v>CAD</v>
      </c>
      <c r="M373" t="str">
        <f t="shared" si="5"/>
        <v>USD</v>
      </c>
      <c r="N373" s="51">
        <f>VLOOKUP($L373,TABLE!$I$3:$O$13,N$2,FALSE)/VLOOKUP($M373,TABLE!$I$3:$O$13,N$2,FALSE)*F373</f>
        <v>18.870242361589707</v>
      </c>
      <c r="O373" s="51">
        <f>VLOOKUP($L373,TABLE!$I$3:$O$13,O$2,FALSE)/VLOOKUP($M373,TABLE!$I$3:$O$13,O$2,FALSE)*G373</f>
        <v>24.225123034449648</v>
      </c>
      <c r="P373" s="51">
        <f>VLOOKUP($L373,TABLE!$I$3:$O$13,P$2,FALSE)/VLOOKUP($M373,TABLE!$I$3:$O$13,P$2,FALSE)*H373</f>
        <v>27.898733340441414</v>
      </c>
      <c r="Q373" s="51">
        <f>VLOOKUP($L373,TABLE!$I$3:$O$13,Q$2,FALSE)/VLOOKUP($M373,TABLE!$I$3:$O$13,Q$2,FALSE)*I373</f>
        <v>30.997464154636656</v>
      </c>
      <c r="R373" s="51">
        <f>VLOOKUP($L373,TABLE!$I$3:$O$13,R$2,FALSE)/VLOOKUP($M373,TABLE!$I$3:$O$13,R$2,FALSE)*J373</f>
        <v>33.752778536668657</v>
      </c>
    </row>
    <row r="374" spans="2:18">
      <c r="B374" t="s">
        <v>43</v>
      </c>
      <c r="C374" t="s">
        <v>124</v>
      </c>
      <c r="D374" t="s">
        <v>34</v>
      </c>
      <c r="E374" t="s">
        <v>580</v>
      </c>
      <c r="F374" s="51">
        <v>1.0900000000000001</v>
      </c>
      <c r="G374" s="51">
        <v>2.42</v>
      </c>
      <c r="H374" s="51">
        <v>2.63</v>
      </c>
      <c r="I374" s="51">
        <v>3.02</v>
      </c>
      <c r="J374" s="51">
        <v>3.59</v>
      </c>
      <c r="L374" t="str">
        <f>VLOOKUP(B374,TABLE!D:E,2,FALSE)</f>
        <v>CAD</v>
      </c>
      <c r="M374" t="str">
        <f t="shared" si="5"/>
        <v>USD</v>
      </c>
      <c r="N374" s="51">
        <f>VLOOKUP($L374,TABLE!$I$3:$O$13,N$2,FALSE)/VLOOKUP($M374,TABLE!$I$3:$O$13,N$2,FALSE)*F374</f>
        <v>1.0382919825407766</v>
      </c>
      <c r="O374" s="51">
        <f>VLOOKUP($L374,TABLE!$I$3:$O$13,O$2,FALSE)/VLOOKUP($M374,TABLE!$I$3:$O$13,O$2,FALSE)*G374</f>
        <v>2.4255191453607012</v>
      </c>
      <c r="P374" s="51">
        <f>VLOOKUP($L374,TABLE!$I$3:$O$13,P$2,FALSE)/VLOOKUP($M374,TABLE!$I$3:$O$13,P$2,FALSE)*H374</f>
        <v>2.5799461563066424</v>
      </c>
      <c r="Q374" s="51">
        <f>VLOOKUP($L374,TABLE!$I$3:$O$13,Q$2,FALSE)/VLOOKUP($M374,TABLE!$I$3:$O$13,Q$2,FALSE)*I374</f>
        <v>3.0364042084658678</v>
      </c>
      <c r="R374" s="51">
        <f>VLOOKUP($L374,TABLE!$I$3:$O$13,R$2,FALSE)/VLOOKUP($M374,TABLE!$I$3:$O$13,R$2,FALSE)*J374</f>
        <v>3.3762183044480492</v>
      </c>
    </row>
    <row r="375" spans="2:18">
      <c r="B375" t="s">
        <v>43</v>
      </c>
      <c r="C375" t="s">
        <v>124</v>
      </c>
      <c r="D375" t="s">
        <v>48</v>
      </c>
      <c r="E375" t="s">
        <v>581</v>
      </c>
      <c r="F375" s="51">
        <v>-0.56225000000000003</v>
      </c>
      <c r="G375" s="51">
        <v>1.03</v>
      </c>
      <c r="H375" s="51">
        <v>1.01</v>
      </c>
      <c r="I375" s="51">
        <v>1.43</v>
      </c>
      <c r="J375" s="51">
        <v>1.61</v>
      </c>
      <c r="L375" t="str">
        <f>VLOOKUP(B375,TABLE!D:E,2,FALSE)</f>
        <v>CAD</v>
      </c>
      <c r="M375" t="str">
        <f t="shared" si="5"/>
        <v>USD</v>
      </c>
      <c r="N375" s="51">
        <f>VLOOKUP($L375,TABLE!$I$3:$O$13,N$2,FALSE)/VLOOKUP($M375,TABLE!$I$3:$O$13,N$2,FALSE)*F375</f>
        <v>-0.53557767631518494</v>
      </c>
      <c r="O375" s="51">
        <f>VLOOKUP($L375,TABLE!$I$3:$O$13,O$2,FALSE)/VLOOKUP($M375,TABLE!$I$3:$O$13,O$2,FALSE)*G375</f>
        <v>1.0323490577361663</v>
      </c>
      <c r="P375" s="51">
        <f>VLOOKUP($L375,TABLE!$I$3:$O$13,P$2,FALSE)/VLOOKUP($M375,TABLE!$I$3:$O$13,P$2,FALSE)*H375</f>
        <v>0.99077780147137229</v>
      </c>
      <c r="Q375" s="51">
        <f>VLOOKUP($L375,TABLE!$I$3:$O$13,Q$2,FALSE)/VLOOKUP($M375,TABLE!$I$3:$O$13,Q$2,FALSE)*I375</f>
        <v>1.4377675556643017</v>
      </c>
      <c r="R375" s="51">
        <f>VLOOKUP($L375,TABLE!$I$3:$O$13,R$2,FALSE)/VLOOKUP($M375,TABLE!$I$3:$O$13,R$2,FALSE)*J375</f>
        <v>1.5141257577051142</v>
      </c>
    </row>
    <row r="376" spans="2:18">
      <c r="B376" t="s">
        <v>43</v>
      </c>
      <c r="C376" t="s">
        <v>124</v>
      </c>
      <c r="D376" t="s">
        <v>50</v>
      </c>
      <c r="E376" t="s">
        <v>582</v>
      </c>
      <c r="F376" s="51">
        <v>0.49269000000000002</v>
      </c>
      <c r="G376" s="51">
        <v>1.86</v>
      </c>
      <c r="H376" s="51">
        <v>1.98</v>
      </c>
      <c r="I376" s="51">
        <v>2.42</v>
      </c>
      <c r="J376" s="51">
        <v>3.02</v>
      </c>
      <c r="L376" t="str">
        <f>VLOOKUP(B376,TABLE!D:E,2,FALSE)</f>
        <v>CAD</v>
      </c>
      <c r="M376" t="str">
        <f t="shared" si="5"/>
        <v>USD</v>
      </c>
      <c r="N376" s="51">
        <f>VLOOKUP($L376,TABLE!$I$3:$O$13,N$2,FALSE)/VLOOKUP($M376,TABLE!$I$3:$O$13,N$2,FALSE)*F376</f>
        <v>0.46931750172294973</v>
      </c>
      <c r="O376" s="51">
        <f>VLOOKUP($L376,TABLE!$I$3:$O$13,O$2,FALSE)/VLOOKUP($M376,TABLE!$I$3:$O$13,O$2,FALSE)*G376</f>
        <v>1.8642419877565721</v>
      </c>
      <c r="P376" s="51">
        <f>VLOOKUP($L376,TABLE!$I$3:$O$13,P$2,FALSE)/VLOOKUP($M376,TABLE!$I$3:$O$13,P$2,FALSE)*H376</f>
        <v>1.942316878131997</v>
      </c>
      <c r="Q376" s="51">
        <f>VLOOKUP($L376,TABLE!$I$3:$O$13,Q$2,FALSE)/VLOOKUP($M376,TABLE!$I$3:$O$13,Q$2,FALSE)*I376</f>
        <v>2.4331450942011257</v>
      </c>
      <c r="R376" s="51">
        <f>VLOOKUP($L376,TABLE!$I$3:$O$13,R$2,FALSE)/VLOOKUP($M376,TABLE!$I$3:$O$13,R$2,FALSE)*J376</f>
        <v>2.8401613591735679</v>
      </c>
    </row>
    <row r="377" spans="2:18">
      <c r="B377" t="s">
        <v>43</v>
      </c>
      <c r="C377" t="s">
        <v>124</v>
      </c>
      <c r="D377" t="s">
        <v>44</v>
      </c>
      <c r="E377" t="s">
        <v>583</v>
      </c>
      <c r="F377" s="51">
        <v>3.0789999999999998E-2</v>
      </c>
      <c r="G377" s="51">
        <v>1.133E-2</v>
      </c>
      <c r="H377" s="51">
        <v>1.8800000000000001E-2</v>
      </c>
      <c r="I377" s="51">
        <v>3.3989999999999999E-2</v>
      </c>
      <c r="J377" s="51">
        <v>1.6489999999999998E-2</v>
      </c>
      <c r="L377" t="str">
        <f>VLOOKUP(B377,TABLE!D:E,2,FALSE)</f>
        <v>CAD</v>
      </c>
      <c r="M377" t="str">
        <f t="shared" si="5"/>
        <v>USD</v>
      </c>
      <c r="N377" s="51">
        <f>VLOOKUP($L377,TABLE!$I$3:$O$13,N$2,FALSE)/VLOOKUP($M377,TABLE!$I$3:$O$13,N$2,FALSE)*F377</f>
        <v>2.9329367103147253E-2</v>
      </c>
      <c r="O377" s="51">
        <f>VLOOKUP($L377,TABLE!$I$3:$O$13,O$2,FALSE)/VLOOKUP($M377,TABLE!$I$3:$O$13,O$2,FALSE)*G377</f>
        <v>1.1355839635097828E-2</v>
      </c>
      <c r="P377" s="51">
        <f>VLOOKUP($L377,TABLE!$I$3:$O$13,P$2,FALSE)/VLOOKUP($M377,TABLE!$I$3:$O$13,P$2,FALSE)*H377</f>
        <v>1.8442200661051285E-2</v>
      </c>
      <c r="Q377" s="51">
        <f>VLOOKUP($L377,TABLE!$I$3:$O$13,Q$2,FALSE)/VLOOKUP($M377,TABLE!$I$3:$O$13,Q$2,FALSE)*I377</f>
        <v>3.417462882309763E-2</v>
      </c>
      <c r="R377" s="51">
        <f>VLOOKUP($L377,TABLE!$I$3:$O$13,R$2,FALSE)/VLOOKUP($M377,TABLE!$I$3:$O$13,R$2,FALSE)*J377</f>
        <v>1.5508033381712624E-2</v>
      </c>
    </row>
    <row r="378" spans="2:18">
      <c r="B378" t="s">
        <v>43</v>
      </c>
      <c r="C378" t="s">
        <v>124</v>
      </c>
      <c r="D378" t="s">
        <v>42</v>
      </c>
      <c r="E378" t="s">
        <v>584</v>
      </c>
      <c r="F378" s="51">
        <v>0</v>
      </c>
      <c r="G378" s="51">
        <v>2.266E-2</v>
      </c>
      <c r="H378" s="51">
        <v>2.4730000000000002E-2</v>
      </c>
      <c r="I378" s="51">
        <v>1.7989999999999999E-2</v>
      </c>
      <c r="J378" s="51">
        <v>0</v>
      </c>
      <c r="L378" t="str">
        <f>VLOOKUP(B378,TABLE!D:E,2,FALSE)</f>
        <v>CAD</v>
      </c>
      <c r="M378" t="str">
        <f t="shared" si="5"/>
        <v>USD</v>
      </c>
      <c r="N378" s="51">
        <f>VLOOKUP($L378,TABLE!$I$3:$O$13,N$2,FALSE)/VLOOKUP($M378,TABLE!$I$3:$O$13,N$2,FALSE)*F378</f>
        <v>0</v>
      </c>
      <c r="O378" s="51">
        <f>VLOOKUP($L378,TABLE!$I$3:$O$13,O$2,FALSE)/VLOOKUP($M378,TABLE!$I$3:$O$13,O$2,FALSE)*G378</f>
        <v>2.2711679270195656E-2</v>
      </c>
      <c r="P378" s="51">
        <f>VLOOKUP($L378,TABLE!$I$3:$O$13,P$2,FALSE)/VLOOKUP($M378,TABLE!$I$3:$O$13,P$2,FALSE)*H378</f>
        <v>2.4259341614244593E-2</v>
      </c>
      <c r="Q378" s="51">
        <f>VLOOKUP($L378,TABLE!$I$3:$O$13,Q$2,FALSE)/VLOOKUP($M378,TABLE!$I$3:$O$13,Q$2,FALSE)*I378</f>
        <v>1.8087719109371177E-2</v>
      </c>
      <c r="R378" s="51">
        <f>VLOOKUP($L378,TABLE!$I$3:$O$13,R$2,FALSE)/VLOOKUP($M378,TABLE!$I$3:$O$13,R$2,FALSE)*J378</f>
        <v>0</v>
      </c>
    </row>
    <row r="379" spans="2:18">
      <c r="B379" t="s">
        <v>43</v>
      </c>
      <c r="C379" t="s">
        <v>124</v>
      </c>
      <c r="D379" t="s">
        <v>145</v>
      </c>
      <c r="E379" t="s">
        <v>585</v>
      </c>
      <c r="F379" s="51"/>
      <c r="G379" s="51"/>
      <c r="H379" s="51"/>
      <c r="I379" s="51"/>
      <c r="J379" s="51"/>
      <c r="L379" t="str">
        <f>VLOOKUP(B379,TABLE!D:E,2,FALSE)</f>
        <v>CAD</v>
      </c>
      <c r="M379" t="str">
        <f t="shared" si="5"/>
        <v>USD</v>
      </c>
      <c r="N379" s="51">
        <f>VLOOKUP($L379,TABLE!$I$3:$O$13,N$2,FALSE)/VLOOKUP($M379,TABLE!$I$3:$O$13,N$2,FALSE)*F379</f>
        <v>0</v>
      </c>
      <c r="O379" s="51">
        <f>VLOOKUP($L379,TABLE!$I$3:$O$13,O$2,FALSE)/VLOOKUP($M379,TABLE!$I$3:$O$13,O$2,FALSE)*G379</f>
        <v>0</v>
      </c>
      <c r="P379" s="51">
        <f>VLOOKUP($L379,TABLE!$I$3:$O$13,P$2,FALSE)/VLOOKUP($M379,TABLE!$I$3:$O$13,P$2,FALSE)*H379</f>
        <v>0</v>
      </c>
      <c r="Q379" s="51">
        <f>VLOOKUP($L379,TABLE!$I$3:$O$13,Q$2,FALSE)/VLOOKUP($M379,TABLE!$I$3:$O$13,Q$2,FALSE)*I379</f>
        <v>0</v>
      </c>
      <c r="R379" s="51">
        <f>VLOOKUP($L379,TABLE!$I$3:$O$13,R$2,FALSE)/VLOOKUP($M379,TABLE!$I$3:$O$13,R$2,FALSE)*J379</f>
        <v>0</v>
      </c>
    </row>
    <row r="380" spans="2:18">
      <c r="B380" t="s">
        <v>43</v>
      </c>
      <c r="C380" t="s">
        <v>124</v>
      </c>
      <c r="D380" t="s">
        <v>36</v>
      </c>
      <c r="E380" t="s">
        <v>586</v>
      </c>
      <c r="F380" s="51">
        <v>1.43</v>
      </c>
      <c r="G380" s="51">
        <v>1.31</v>
      </c>
      <c r="H380" s="51">
        <v>1.4</v>
      </c>
      <c r="I380" s="51">
        <v>1.52</v>
      </c>
      <c r="J380" s="51">
        <v>1.67</v>
      </c>
      <c r="L380" t="str">
        <f>VLOOKUP(B380,TABLE!D:E,2,FALSE)</f>
        <v>CAD</v>
      </c>
      <c r="M380" t="str">
        <f t="shared" si="5"/>
        <v>USD</v>
      </c>
      <c r="N380" s="51">
        <f>VLOOKUP($L380,TABLE!$I$3:$O$13,N$2,FALSE)/VLOOKUP($M380,TABLE!$I$3:$O$13,N$2,FALSE)*F380</f>
        <v>1.362162876177349</v>
      </c>
      <c r="O380" s="51">
        <f>VLOOKUP($L380,TABLE!$I$3:$O$13,O$2,FALSE)/VLOOKUP($M380,TABLE!$I$3:$O$13,O$2,FALSE)*G380</f>
        <v>1.3129876365382309</v>
      </c>
      <c r="P380" s="51">
        <f>VLOOKUP($L380,TABLE!$I$3:$O$13,P$2,FALSE)/VLOOKUP($M380,TABLE!$I$3:$O$13,P$2,FALSE)*H380</f>
        <v>1.3733553683761595</v>
      </c>
      <c r="Q380" s="51">
        <f>VLOOKUP($L380,TABLE!$I$3:$O$13,Q$2,FALSE)/VLOOKUP($M380,TABLE!$I$3:$O$13,Q$2,FALSE)*I380</f>
        <v>1.528256422804013</v>
      </c>
      <c r="R380" s="51">
        <f>VLOOKUP($L380,TABLE!$I$3:$O$13,R$2,FALSE)/VLOOKUP($M380,TABLE!$I$3:$O$13,R$2,FALSE)*J380</f>
        <v>1.5705528045761119</v>
      </c>
    </row>
    <row r="381" spans="2:18">
      <c r="B381" t="s">
        <v>43</v>
      </c>
      <c r="C381" t="s">
        <v>124</v>
      </c>
      <c r="D381" t="s">
        <v>38</v>
      </c>
      <c r="E381" t="s">
        <v>587</v>
      </c>
      <c r="F381" s="51">
        <v>0</v>
      </c>
      <c r="G381" s="51">
        <v>0</v>
      </c>
      <c r="H381" s="51">
        <v>0</v>
      </c>
      <c r="I381" s="51">
        <v>0</v>
      </c>
      <c r="J381" s="51">
        <v>0</v>
      </c>
      <c r="L381" t="str">
        <f>VLOOKUP(B381,TABLE!D:E,2,FALSE)</f>
        <v>CAD</v>
      </c>
      <c r="M381" t="str">
        <f t="shared" si="5"/>
        <v>USD</v>
      </c>
      <c r="N381" s="51">
        <f>VLOOKUP($L381,TABLE!$I$3:$O$13,N$2,FALSE)/VLOOKUP($M381,TABLE!$I$3:$O$13,N$2,FALSE)*F381</f>
        <v>0</v>
      </c>
      <c r="O381" s="51">
        <f>VLOOKUP($L381,TABLE!$I$3:$O$13,O$2,FALSE)/VLOOKUP($M381,TABLE!$I$3:$O$13,O$2,FALSE)*G381</f>
        <v>0</v>
      </c>
      <c r="P381" s="51">
        <f>VLOOKUP($L381,TABLE!$I$3:$O$13,P$2,FALSE)/VLOOKUP($M381,TABLE!$I$3:$O$13,P$2,FALSE)*H381</f>
        <v>0</v>
      </c>
      <c r="Q381" s="51">
        <f>VLOOKUP($L381,TABLE!$I$3:$O$13,Q$2,FALSE)/VLOOKUP($M381,TABLE!$I$3:$O$13,Q$2,FALSE)*I381</f>
        <v>0</v>
      </c>
      <c r="R381" s="51">
        <f>VLOOKUP($L381,TABLE!$I$3:$O$13,R$2,FALSE)/VLOOKUP($M381,TABLE!$I$3:$O$13,R$2,FALSE)*J381</f>
        <v>0</v>
      </c>
    </row>
    <row r="382" spans="2:18">
      <c r="B382" t="s">
        <v>43</v>
      </c>
      <c r="C382" t="s">
        <v>124</v>
      </c>
      <c r="D382" t="s">
        <v>40</v>
      </c>
      <c r="E382" t="s">
        <v>588</v>
      </c>
      <c r="F382" s="51">
        <v>1.43</v>
      </c>
      <c r="G382" s="51">
        <v>1.31</v>
      </c>
      <c r="H382" s="51">
        <v>1.4</v>
      </c>
      <c r="I382" s="51">
        <v>1.52</v>
      </c>
      <c r="J382" s="51">
        <v>1.67</v>
      </c>
      <c r="L382" t="str">
        <f>VLOOKUP(B382,TABLE!D:E,2,FALSE)</f>
        <v>CAD</v>
      </c>
      <c r="M382" t="str">
        <f t="shared" si="5"/>
        <v>USD</v>
      </c>
      <c r="N382" s="51">
        <f>VLOOKUP($L382,TABLE!$I$3:$O$13,N$2,FALSE)/VLOOKUP($M382,TABLE!$I$3:$O$13,N$2,FALSE)*F382</f>
        <v>1.362162876177349</v>
      </c>
      <c r="O382" s="51">
        <f>VLOOKUP($L382,TABLE!$I$3:$O$13,O$2,FALSE)/VLOOKUP($M382,TABLE!$I$3:$O$13,O$2,FALSE)*G382</f>
        <v>1.3129876365382309</v>
      </c>
      <c r="P382" s="51">
        <f>VLOOKUP($L382,TABLE!$I$3:$O$13,P$2,FALSE)/VLOOKUP($M382,TABLE!$I$3:$O$13,P$2,FALSE)*H382</f>
        <v>1.3733553683761595</v>
      </c>
      <c r="Q382" s="51">
        <f>VLOOKUP($L382,TABLE!$I$3:$O$13,Q$2,FALSE)/VLOOKUP($M382,TABLE!$I$3:$O$13,Q$2,FALSE)*I382</f>
        <v>1.528256422804013</v>
      </c>
      <c r="R382" s="51">
        <f>VLOOKUP($L382,TABLE!$I$3:$O$13,R$2,FALSE)/VLOOKUP($M382,TABLE!$I$3:$O$13,R$2,FALSE)*J382</f>
        <v>1.5705528045761119</v>
      </c>
    </row>
    <row r="383" spans="2:18">
      <c r="B383" t="s">
        <v>43</v>
      </c>
      <c r="C383" t="s">
        <v>124</v>
      </c>
      <c r="D383" t="s">
        <v>46</v>
      </c>
      <c r="E383" t="s">
        <v>589</v>
      </c>
      <c r="F383" s="51">
        <v>-0.58277999999999996</v>
      </c>
      <c r="G383" s="51">
        <v>1.23</v>
      </c>
      <c r="H383" s="51">
        <v>1.2</v>
      </c>
      <c r="I383" s="51">
        <v>1.75</v>
      </c>
      <c r="J383" s="51">
        <v>1.96</v>
      </c>
      <c r="L383" t="str">
        <f>VLOOKUP(B383,TABLE!D:E,2,FALSE)</f>
        <v>CAD</v>
      </c>
      <c r="M383" t="str">
        <f t="shared" si="5"/>
        <v>USD</v>
      </c>
      <c r="N383" s="51">
        <f>VLOOKUP($L383,TABLE!$I$3:$O$13,N$2,FALSE)/VLOOKUP($M383,TABLE!$I$3:$O$13,N$2,FALSE)*F383</f>
        <v>-0.55513376292212269</v>
      </c>
      <c r="O383" s="51">
        <f>VLOOKUP($L383,TABLE!$I$3:$O$13,O$2,FALSE)/VLOOKUP($M383,TABLE!$I$3:$O$13,O$2,FALSE)*G383</f>
        <v>1.2328051854519266</v>
      </c>
      <c r="P383" s="51">
        <f>VLOOKUP($L383,TABLE!$I$3:$O$13,P$2,FALSE)/VLOOKUP($M383,TABLE!$I$3:$O$13,P$2,FALSE)*H383</f>
        <v>1.1771617443224225</v>
      </c>
      <c r="Q383" s="51">
        <f>VLOOKUP($L383,TABLE!$I$3:$O$13,Q$2,FALSE)/VLOOKUP($M383,TABLE!$I$3:$O$13,Q$2,FALSE)*I383</f>
        <v>1.7595057499388307</v>
      </c>
      <c r="R383" s="51">
        <f>VLOOKUP($L383,TABLE!$I$3:$O$13,R$2,FALSE)/VLOOKUP($M383,TABLE!$I$3:$O$13,R$2,FALSE)*J383</f>
        <v>1.8432835311192692</v>
      </c>
    </row>
    <row r="384" spans="2:18">
      <c r="B384" t="s">
        <v>45</v>
      </c>
      <c r="C384" t="s">
        <v>124</v>
      </c>
      <c r="D384" t="s">
        <v>9</v>
      </c>
      <c r="E384" t="s">
        <v>590</v>
      </c>
      <c r="F384" s="51">
        <v>1.55</v>
      </c>
      <c r="G384" s="51">
        <v>1.65</v>
      </c>
      <c r="H384" s="51">
        <v>1.75</v>
      </c>
      <c r="I384" s="51">
        <v>1.4</v>
      </c>
      <c r="J384" s="51">
        <v>1.1399999999999999</v>
      </c>
      <c r="L384" t="str">
        <f>VLOOKUP(B384,TABLE!D:E,2,FALSE)</f>
        <v>USD</v>
      </c>
      <c r="M384" t="str">
        <f t="shared" si="5"/>
        <v>USD</v>
      </c>
      <c r="N384" s="51">
        <f>VLOOKUP($L384,TABLE!$I$3:$O$13,N$2,FALSE)/VLOOKUP($M384,TABLE!$I$3:$O$13,N$2,FALSE)*F384</f>
        <v>1.55</v>
      </c>
      <c r="O384" s="51">
        <f>VLOOKUP($L384,TABLE!$I$3:$O$13,O$2,FALSE)/VLOOKUP($M384,TABLE!$I$3:$O$13,O$2,FALSE)*G384</f>
        <v>1.65</v>
      </c>
      <c r="P384" s="51">
        <f>VLOOKUP($L384,TABLE!$I$3:$O$13,P$2,FALSE)/VLOOKUP($M384,TABLE!$I$3:$O$13,P$2,FALSE)*H384</f>
        <v>1.75</v>
      </c>
      <c r="Q384" s="51">
        <f>VLOOKUP($L384,TABLE!$I$3:$O$13,Q$2,FALSE)/VLOOKUP($M384,TABLE!$I$3:$O$13,Q$2,FALSE)*I384</f>
        <v>1.4</v>
      </c>
      <c r="R384" s="51">
        <f>VLOOKUP($L384,TABLE!$I$3:$O$13,R$2,FALSE)/VLOOKUP($M384,TABLE!$I$3:$O$13,R$2,FALSE)*J384</f>
        <v>1.1399999999999999</v>
      </c>
    </row>
    <row r="385" spans="2:18">
      <c r="B385" t="s">
        <v>45</v>
      </c>
      <c r="C385" t="s">
        <v>124</v>
      </c>
      <c r="D385" t="s">
        <v>11</v>
      </c>
      <c r="E385" t="s">
        <v>591</v>
      </c>
      <c r="F385" s="51">
        <v>1.48</v>
      </c>
      <c r="G385" s="51">
        <v>1.76</v>
      </c>
      <c r="H385" s="51">
        <v>1.88</v>
      </c>
      <c r="I385" s="51">
        <v>2.04</v>
      </c>
      <c r="J385" s="51">
        <v>2.2799999999999998</v>
      </c>
      <c r="L385" t="str">
        <f>VLOOKUP(B385,TABLE!D:E,2,FALSE)</f>
        <v>USD</v>
      </c>
      <c r="M385" t="str">
        <f t="shared" si="5"/>
        <v>USD</v>
      </c>
      <c r="N385" s="51">
        <f>VLOOKUP($L385,TABLE!$I$3:$O$13,N$2,FALSE)/VLOOKUP($M385,TABLE!$I$3:$O$13,N$2,FALSE)*F385</f>
        <v>1.48</v>
      </c>
      <c r="O385" s="51">
        <f>VLOOKUP($L385,TABLE!$I$3:$O$13,O$2,FALSE)/VLOOKUP($M385,TABLE!$I$3:$O$13,O$2,FALSE)*G385</f>
        <v>1.76</v>
      </c>
      <c r="P385" s="51">
        <f>VLOOKUP($L385,TABLE!$I$3:$O$13,P$2,FALSE)/VLOOKUP($M385,TABLE!$I$3:$O$13,P$2,FALSE)*H385</f>
        <v>1.88</v>
      </c>
      <c r="Q385" s="51">
        <f>VLOOKUP($L385,TABLE!$I$3:$O$13,Q$2,FALSE)/VLOOKUP($M385,TABLE!$I$3:$O$13,Q$2,FALSE)*I385</f>
        <v>2.04</v>
      </c>
      <c r="R385" s="51">
        <f>VLOOKUP($L385,TABLE!$I$3:$O$13,R$2,FALSE)/VLOOKUP($M385,TABLE!$I$3:$O$13,R$2,FALSE)*J385</f>
        <v>2.2799999999999998</v>
      </c>
    </row>
    <row r="386" spans="2:18">
      <c r="B386" t="s">
        <v>45</v>
      </c>
      <c r="C386" t="s">
        <v>124</v>
      </c>
      <c r="D386" t="s">
        <v>13</v>
      </c>
      <c r="E386" t="s">
        <v>592</v>
      </c>
      <c r="F386" s="51">
        <v>0.44739999999999996</v>
      </c>
      <c r="G386" s="51">
        <v>0.55420000000000003</v>
      </c>
      <c r="H386" s="51">
        <v>0.63779999999999992</v>
      </c>
      <c r="I386" s="51">
        <v>0.72709999999999997</v>
      </c>
      <c r="J386" s="51">
        <v>0.81870000000000009</v>
      </c>
      <c r="L386" t="str">
        <f>VLOOKUP(B386,TABLE!D:E,2,FALSE)</f>
        <v>USD</v>
      </c>
      <c r="M386" t="str">
        <f t="shared" si="5"/>
        <v>USD</v>
      </c>
      <c r="N386" s="51">
        <f>VLOOKUP($L386,TABLE!$I$3:$O$13,N$2,FALSE)/VLOOKUP($M386,TABLE!$I$3:$O$13,N$2,FALSE)*F386</f>
        <v>0.44739999999999996</v>
      </c>
      <c r="O386" s="51">
        <f>VLOOKUP($L386,TABLE!$I$3:$O$13,O$2,FALSE)/VLOOKUP($M386,TABLE!$I$3:$O$13,O$2,FALSE)*G386</f>
        <v>0.55420000000000003</v>
      </c>
      <c r="P386" s="51">
        <f>VLOOKUP($L386,TABLE!$I$3:$O$13,P$2,FALSE)/VLOOKUP($M386,TABLE!$I$3:$O$13,P$2,FALSE)*H386</f>
        <v>0.63779999999999992</v>
      </c>
      <c r="Q386" s="51">
        <f>VLOOKUP($L386,TABLE!$I$3:$O$13,Q$2,FALSE)/VLOOKUP($M386,TABLE!$I$3:$O$13,Q$2,FALSE)*I386</f>
        <v>0.72709999999999997</v>
      </c>
      <c r="R386" s="51">
        <f>VLOOKUP($L386,TABLE!$I$3:$O$13,R$2,FALSE)/VLOOKUP($M386,TABLE!$I$3:$O$13,R$2,FALSE)*J386</f>
        <v>0.81870000000000009</v>
      </c>
    </row>
    <row r="387" spans="2:18">
      <c r="B387" t="s">
        <v>45</v>
      </c>
      <c r="C387" t="s">
        <v>124</v>
      </c>
      <c r="D387" t="s">
        <v>15</v>
      </c>
      <c r="E387" t="s">
        <v>593</v>
      </c>
      <c r="F387" s="51">
        <v>3.79</v>
      </c>
      <c r="G387" s="51">
        <v>4.3899999999999997</v>
      </c>
      <c r="H387" s="51">
        <v>4.76</v>
      </c>
      <c r="I387" s="51">
        <v>4.87</v>
      </c>
      <c r="J387" s="51">
        <v>4.92</v>
      </c>
      <c r="L387" t="str">
        <f>VLOOKUP(B387,TABLE!D:E,2,FALSE)</f>
        <v>USD</v>
      </c>
      <c r="M387" t="str">
        <f t="shared" si="5"/>
        <v>USD</v>
      </c>
      <c r="N387" s="51">
        <f>VLOOKUP($L387,TABLE!$I$3:$O$13,N$2,FALSE)/VLOOKUP($M387,TABLE!$I$3:$O$13,N$2,FALSE)*F387</f>
        <v>3.79</v>
      </c>
      <c r="O387" s="51">
        <f>VLOOKUP($L387,TABLE!$I$3:$O$13,O$2,FALSE)/VLOOKUP($M387,TABLE!$I$3:$O$13,O$2,FALSE)*G387</f>
        <v>4.3899999999999997</v>
      </c>
      <c r="P387" s="51">
        <f>VLOOKUP($L387,TABLE!$I$3:$O$13,P$2,FALSE)/VLOOKUP($M387,TABLE!$I$3:$O$13,P$2,FALSE)*H387</f>
        <v>4.76</v>
      </c>
      <c r="Q387" s="51">
        <f>VLOOKUP($L387,TABLE!$I$3:$O$13,Q$2,FALSE)/VLOOKUP($M387,TABLE!$I$3:$O$13,Q$2,FALSE)*I387</f>
        <v>4.87</v>
      </c>
      <c r="R387" s="51">
        <f>VLOOKUP($L387,TABLE!$I$3:$O$13,R$2,FALSE)/VLOOKUP($M387,TABLE!$I$3:$O$13,R$2,FALSE)*J387</f>
        <v>4.92</v>
      </c>
    </row>
    <row r="388" spans="2:18">
      <c r="B388" t="s">
        <v>45</v>
      </c>
      <c r="C388" t="s">
        <v>124</v>
      </c>
      <c r="D388" t="s">
        <v>18</v>
      </c>
      <c r="E388" t="s">
        <v>594</v>
      </c>
      <c r="F388" s="51">
        <v>6.07</v>
      </c>
      <c r="G388" s="51">
        <v>6.62</v>
      </c>
      <c r="H388" s="51">
        <v>7.01</v>
      </c>
      <c r="I388" s="51">
        <v>8.19</v>
      </c>
      <c r="J388" s="51">
        <v>8.33</v>
      </c>
      <c r="L388" t="str">
        <f>VLOOKUP(B388,TABLE!D:E,2,FALSE)</f>
        <v>USD</v>
      </c>
      <c r="M388" t="str">
        <f t="shared" si="5"/>
        <v>USD</v>
      </c>
      <c r="N388" s="51">
        <f>VLOOKUP($L388,TABLE!$I$3:$O$13,N$2,FALSE)/VLOOKUP($M388,TABLE!$I$3:$O$13,N$2,FALSE)*F388</f>
        <v>6.07</v>
      </c>
      <c r="O388" s="51">
        <f>VLOOKUP($L388,TABLE!$I$3:$O$13,O$2,FALSE)/VLOOKUP($M388,TABLE!$I$3:$O$13,O$2,FALSE)*G388</f>
        <v>6.62</v>
      </c>
      <c r="P388" s="51">
        <f>VLOOKUP($L388,TABLE!$I$3:$O$13,P$2,FALSE)/VLOOKUP($M388,TABLE!$I$3:$O$13,P$2,FALSE)*H388</f>
        <v>7.01</v>
      </c>
      <c r="Q388" s="51">
        <f>VLOOKUP($L388,TABLE!$I$3:$O$13,Q$2,FALSE)/VLOOKUP($M388,TABLE!$I$3:$O$13,Q$2,FALSE)*I388</f>
        <v>8.19</v>
      </c>
      <c r="R388" s="51">
        <f>VLOOKUP($L388,TABLE!$I$3:$O$13,R$2,FALSE)/VLOOKUP($M388,TABLE!$I$3:$O$13,R$2,FALSE)*J388</f>
        <v>8.33</v>
      </c>
    </row>
    <row r="389" spans="2:18">
      <c r="B389" t="s">
        <v>45</v>
      </c>
      <c r="C389" t="s">
        <v>124</v>
      </c>
      <c r="D389" t="s">
        <v>21</v>
      </c>
      <c r="E389" t="s">
        <v>595</v>
      </c>
      <c r="F389" s="51">
        <v>2.4</v>
      </c>
      <c r="G389" s="51">
        <v>2.82</v>
      </c>
      <c r="H389" s="51">
        <v>3.06</v>
      </c>
      <c r="I389" s="51">
        <v>3.22</v>
      </c>
      <c r="J389" s="51">
        <v>3.58</v>
      </c>
      <c r="L389" t="str">
        <f>VLOOKUP(B389,TABLE!D:E,2,FALSE)</f>
        <v>USD</v>
      </c>
      <c r="M389" t="str">
        <f t="shared" ref="M389:M440" si="6">IF(M$1="LC",L389,M$1)</f>
        <v>USD</v>
      </c>
      <c r="N389" s="51">
        <f>VLOOKUP($L389,TABLE!$I$3:$O$13,N$2,FALSE)/VLOOKUP($M389,TABLE!$I$3:$O$13,N$2,FALSE)*F389</f>
        <v>2.4</v>
      </c>
      <c r="O389" s="51">
        <f>VLOOKUP($L389,TABLE!$I$3:$O$13,O$2,FALSE)/VLOOKUP($M389,TABLE!$I$3:$O$13,O$2,FALSE)*G389</f>
        <v>2.82</v>
      </c>
      <c r="P389" s="51">
        <f>VLOOKUP($L389,TABLE!$I$3:$O$13,P$2,FALSE)/VLOOKUP($M389,TABLE!$I$3:$O$13,P$2,FALSE)*H389</f>
        <v>3.06</v>
      </c>
      <c r="Q389" s="51">
        <f>VLOOKUP($L389,TABLE!$I$3:$O$13,Q$2,FALSE)/VLOOKUP($M389,TABLE!$I$3:$O$13,Q$2,FALSE)*I389</f>
        <v>3.22</v>
      </c>
      <c r="R389" s="51">
        <f>VLOOKUP($L389,TABLE!$I$3:$O$13,R$2,FALSE)/VLOOKUP($M389,TABLE!$I$3:$O$13,R$2,FALSE)*J389</f>
        <v>3.58</v>
      </c>
    </row>
    <row r="390" spans="2:18">
      <c r="B390" t="s">
        <v>45</v>
      </c>
      <c r="C390" t="s">
        <v>124</v>
      </c>
      <c r="D390" t="s">
        <v>20</v>
      </c>
      <c r="E390" t="s">
        <v>596</v>
      </c>
      <c r="F390" s="51">
        <v>1.55</v>
      </c>
      <c r="G390" s="51">
        <v>1.84</v>
      </c>
      <c r="H390" s="51">
        <v>2.0099999999999998</v>
      </c>
      <c r="I390" s="51">
        <v>2.23</v>
      </c>
      <c r="J390" s="51">
        <v>2.44</v>
      </c>
      <c r="L390" t="str">
        <f>VLOOKUP(B390,TABLE!D:E,2,FALSE)</f>
        <v>USD</v>
      </c>
      <c r="M390" t="str">
        <f t="shared" si="6"/>
        <v>USD</v>
      </c>
      <c r="N390" s="51">
        <f>VLOOKUP($L390,TABLE!$I$3:$O$13,N$2,FALSE)/VLOOKUP($M390,TABLE!$I$3:$O$13,N$2,FALSE)*F390</f>
        <v>1.55</v>
      </c>
      <c r="O390" s="51">
        <f>VLOOKUP($L390,TABLE!$I$3:$O$13,O$2,FALSE)/VLOOKUP($M390,TABLE!$I$3:$O$13,O$2,FALSE)*G390</f>
        <v>1.84</v>
      </c>
      <c r="P390" s="51">
        <f>VLOOKUP($L390,TABLE!$I$3:$O$13,P$2,FALSE)/VLOOKUP($M390,TABLE!$I$3:$O$13,P$2,FALSE)*H390</f>
        <v>2.0099999999999998</v>
      </c>
      <c r="Q390" s="51">
        <f>VLOOKUP($L390,TABLE!$I$3:$O$13,Q$2,FALSE)/VLOOKUP($M390,TABLE!$I$3:$O$13,Q$2,FALSE)*I390</f>
        <v>2.23</v>
      </c>
      <c r="R390" s="51">
        <f>VLOOKUP($L390,TABLE!$I$3:$O$13,R$2,FALSE)/VLOOKUP($M390,TABLE!$I$3:$O$13,R$2,FALSE)*J390</f>
        <v>2.44</v>
      </c>
    </row>
    <row r="391" spans="2:18">
      <c r="B391" t="s">
        <v>45</v>
      </c>
      <c r="C391" t="s">
        <v>124</v>
      </c>
      <c r="D391" t="s">
        <v>25</v>
      </c>
      <c r="E391" t="s">
        <v>597</v>
      </c>
      <c r="F391" s="51">
        <v>2.1800000000000002</v>
      </c>
      <c r="G391" s="51">
        <v>2.57</v>
      </c>
      <c r="H391" s="51">
        <v>2.56</v>
      </c>
      <c r="I391" s="51">
        <v>3.61</v>
      </c>
      <c r="J391" s="51">
        <v>3.15</v>
      </c>
      <c r="L391" t="str">
        <f>VLOOKUP(B391,TABLE!D:E,2,FALSE)</f>
        <v>USD</v>
      </c>
      <c r="M391" t="str">
        <f t="shared" si="6"/>
        <v>USD</v>
      </c>
      <c r="N391" s="51">
        <f>VLOOKUP($L391,TABLE!$I$3:$O$13,N$2,FALSE)/VLOOKUP($M391,TABLE!$I$3:$O$13,N$2,FALSE)*F391</f>
        <v>2.1800000000000002</v>
      </c>
      <c r="O391" s="51">
        <f>VLOOKUP($L391,TABLE!$I$3:$O$13,O$2,FALSE)/VLOOKUP($M391,TABLE!$I$3:$O$13,O$2,FALSE)*G391</f>
        <v>2.57</v>
      </c>
      <c r="P391" s="51">
        <f>VLOOKUP($L391,TABLE!$I$3:$O$13,P$2,FALSE)/VLOOKUP($M391,TABLE!$I$3:$O$13,P$2,FALSE)*H391</f>
        <v>2.56</v>
      </c>
      <c r="Q391" s="51">
        <f>VLOOKUP($L391,TABLE!$I$3:$O$13,Q$2,FALSE)/VLOOKUP($M391,TABLE!$I$3:$O$13,Q$2,FALSE)*I391</f>
        <v>3.61</v>
      </c>
      <c r="R391" s="51">
        <f>VLOOKUP($L391,TABLE!$I$3:$O$13,R$2,FALSE)/VLOOKUP($M391,TABLE!$I$3:$O$13,R$2,FALSE)*J391</f>
        <v>3.15</v>
      </c>
    </row>
    <row r="392" spans="2:18">
      <c r="B392" t="s">
        <v>45</v>
      </c>
      <c r="C392" t="s">
        <v>124</v>
      </c>
      <c r="D392" t="s">
        <v>30</v>
      </c>
      <c r="E392" t="s">
        <v>598</v>
      </c>
      <c r="F392" s="51">
        <v>9.74</v>
      </c>
      <c r="G392" s="51">
        <v>11.95</v>
      </c>
      <c r="H392" s="51">
        <v>14.16</v>
      </c>
      <c r="I392" s="51">
        <v>14.57</v>
      </c>
      <c r="J392" s="51">
        <v>16.23</v>
      </c>
      <c r="L392" t="str">
        <f>VLOOKUP(B392,TABLE!D:E,2,FALSE)</f>
        <v>USD</v>
      </c>
      <c r="M392" t="str">
        <f t="shared" si="6"/>
        <v>USD</v>
      </c>
      <c r="N392" s="51">
        <f>VLOOKUP($L392,TABLE!$I$3:$O$13,N$2,FALSE)/VLOOKUP($M392,TABLE!$I$3:$O$13,N$2,FALSE)*F392</f>
        <v>9.74</v>
      </c>
      <c r="O392" s="51">
        <f>VLOOKUP($L392,TABLE!$I$3:$O$13,O$2,FALSE)/VLOOKUP($M392,TABLE!$I$3:$O$13,O$2,FALSE)*G392</f>
        <v>11.95</v>
      </c>
      <c r="P392" s="51">
        <f>VLOOKUP($L392,TABLE!$I$3:$O$13,P$2,FALSE)/VLOOKUP($M392,TABLE!$I$3:$O$13,P$2,FALSE)*H392</f>
        <v>14.16</v>
      </c>
      <c r="Q392" s="51">
        <f>VLOOKUP($L392,TABLE!$I$3:$O$13,Q$2,FALSE)/VLOOKUP($M392,TABLE!$I$3:$O$13,Q$2,FALSE)*I392</f>
        <v>14.57</v>
      </c>
      <c r="R392" s="51">
        <f>VLOOKUP($L392,TABLE!$I$3:$O$13,R$2,FALSE)/VLOOKUP($M392,TABLE!$I$3:$O$13,R$2,FALSE)*J392</f>
        <v>16.23</v>
      </c>
    </row>
    <row r="393" spans="2:18">
      <c r="B393" t="s">
        <v>45</v>
      </c>
      <c r="C393" t="s">
        <v>124</v>
      </c>
      <c r="D393" t="s">
        <v>34</v>
      </c>
      <c r="E393" t="s">
        <v>599</v>
      </c>
      <c r="F393" s="51">
        <v>0.48419999999999996</v>
      </c>
      <c r="G393" s="51">
        <v>1.05</v>
      </c>
      <c r="H393" s="51">
        <v>1.23</v>
      </c>
      <c r="I393" s="51">
        <v>1.23</v>
      </c>
      <c r="J393" s="51">
        <v>1.29</v>
      </c>
      <c r="L393" t="str">
        <f>VLOOKUP(B393,TABLE!D:E,2,FALSE)</f>
        <v>USD</v>
      </c>
      <c r="M393" t="str">
        <f t="shared" si="6"/>
        <v>USD</v>
      </c>
      <c r="N393" s="51">
        <f>VLOOKUP($L393,TABLE!$I$3:$O$13,N$2,FALSE)/VLOOKUP($M393,TABLE!$I$3:$O$13,N$2,FALSE)*F393</f>
        <v>0.48419999999999996</v>
      </c>
      <c r="O393" s="51">
        <f>VLOOKUP($L393,TABLE!$I$3:$O$13,O$2,FALSE)/VLOOKUP($M393,TABLE!$I$3:$O$13,O$2,FALSE)*G393</f>
        <v>1.05</v>
      </c>
      <c r="P393" s="51">
        <f>VLOOKUP($L393,TABLE!$I$3:$O$13,P$2,FALSE)/VLOOKUP($M393,TABLE!$I$3:$O$13,P$2,FALSE)*H393</f>
        <v>1.23</v>
      </c>
      <c r="Q393" s="51">
        <f>VLOOKUP($L393,TABLE!$I$3:$O$13,Q$2,FALSE)/VLOOKUP($M393,TABLE!$I$3:$O$13,Q$2,FALSE)*I393</f>
        <v>1.23</v>
      </c>
      <c r="R393" s="51">
        <f>VLOOKUP($L393,TABLE!$I$3:$O$13,R$2,FALSE)/VLOOKUP($M393,TABLE!$I$3:$O$13,R$2,FALSE)*J393</f>
        <v>1.29</v>
      </c>
    </row>
    <row r="394" spans="2:18">
      <c r="B394" t="s">
        <v>45</v>
      </c>
      <c r="C394" t="s">
        <v>124</v>
      </c>
      <c r="D394" t="s">
        <v>48</v>
      </c>
      <c r="E394" t="s">
        <v>600</v>
      </c>
      <c r="F394" s="51">
        <v>0.81440000000000001</v>
      </c>
      <c r="G394" s="51">
        <v>0.4078</v>
      </c>
      <c r="H394" s="51">
        <v>0.54070000000000007</v>
      </c>
      <c r="I394" s="51">
        <v>1.28</v>
      </c>
      <c r="J394" s="51">
        <v>0.43139999999999995</v>
      </c>
      <c r="L394" t="str">
        <f>VLOOKUP(B394,TABLE!D:E,2,FALSE)</f>
        <v>USD</v>
      </c>
      <c r="M394" t="str">
        <f t="shared" si="6"/>
        <v>USD</v>
      </c>
      <c r="N394" s="51">
        <f>VLOOKUP($L394,TABLE!$I$3:$O$13,N$2,FALSE)/VLOOKUP($M394,TABLE!$I$3:$O$13,N$2,FALSE)*F394</f>
        <v>0.81440000000000001</v>
      </c>
      <c r="O394" s="51">
        <f>VLOOKUP($L394,TABLE!$I$3:$O$13,O$2,FALSE)/VLOOKUP($M394,TABLE!$I$3:$O$13,O$2,FALSE)*G394</f>
        <v>0.4078</v>
      </c>
      <c r="P394" s="51">
        <f>VLOOKUP($L394,TABLE!$I$3:$O$13,P$2,FALSE)/VLOOKUP($M394,TABLE!$I$3:$O$13,P$2,FALSE)*H394</f>
        <v>0.54070000000000007</v>
      </c>
      <c r="Q394" s="51">
        <f>VLOOKUP($L394,TABLE!$I$3:$O$13,Q$2,FALSE)/VLOOKUP($M394,TABLE!$I$3:$O$13,Q$2,FALSE)*I394</f>
        <v>1.28</v>
      </c>
      <c r="R394" s="51">
        <f>VLOOKUP($L394,TABLE!$I$3:$O$13,R$2,FALSE)/VLOOKUP($M394,TABLE!$I$3:$O$13,R$2,FALSE)*J394</f>
        <v>0.43139999999999995</v>
      </c>
    </row>
    <row r="395" spans="2:18">
      <c r="B395" t="s">
        <v>45</v>
      </c>
      <c r="C395" t="s">
        <v>124</v>
      </c>
      <c r="D395" t="s">
        <v>50</v>
      </c>
      <c r="E395" t="s">
        <v>601</v>
      </c>
      <c r="F395" s="51">
        <v>0.2959</v>
      </c>
      <c r="G395" s="51">
        <v>0.83820000000000006</v>
      </c>
      <c r="H395" s="51">
        <v>0.99470000000000003</v>
      </c>
      <c r="I395" s="51">
        <v>1</v>
      </c>
      <c r="J395" s="51">
        <v>1.07</v>
      </c>
      <c r="L395" t="str">
        <f>VLOOKUP(B395,TABLE!D:E,2,FALSE)</f>
        <v>USD</v>
      </c>
      <c r="M395" t="str">
        <f t="shared" si="6"/>
        <v>USD</v>
      </c>
      <c r="N395" s="51">
        <f>VLOOKUP($L395,TABLE!$I$3:$O$13,N$2,FALSE)/VLOOKUP($M395,TABLE!$I$3:$O$13,N$2,FALSE)*F395</f>
        <v>0.2959</v>
      </c>
      <c r="O395" s="51">
        <f>VLOOKUP($L395,TABLE!$I$3:$O$13,O$2,FALSE)/VLOOKUP($M395,TABLE!$I$3:$O$13,O$2,FALSE)*G395</f>
        <v>0.83820000000000006</v>
      </c>
      <c r="P395" s="51">
        <f>VLOOKUP($L395,TABLE!$I$3:$O$13,P$2,FALSE)/VLOOKUP($M395,TABLE!$I$3:$O$13,P$2,FALSE)*H395</f>
        <v>0.99470000000000003</v>
      </c>
      <c r="Q395" s="51">
        <f>VLOOKUP($L395,TABLE!$I$3:$O$13,Q$2,FALSE)/VLOOKUP($M395,TABLE!$I$3:$O$13,Q$2,FALSE)*I395</f>
        <v>1</v>
      </c>
      <c r="R395" s="51">
        <f>VLOOKUP($L395,TABLE!$I$3:$O$13,R$2,FALSE)/VLOOKUP($M395,TABLE!$I$3:$O$13,R$2,FALSE)*J395</f>
        <v>1.07</v>
      </c>
    </row>
    <row r="396" spans="2:18">
      <c r="B396" t="s">
        <v>45</v>
      </c>
      <c r="C396" t="s">
        <v>124</v>
      </c>
      <c r="D396" t="s">
        <v>44</v>
      </c>
      <c r="E396" t="s">
        <v>602</v>
      </c>
      <c r="F396" s="51">
        <v>0.16250000000000001</v>
      </c>
      <c r="G396" s="51">
        <v>5.5399999999999998E-2</v>
      </c>
      <c r="H396" s="51">
        <v>3.9700000000000006E-2</v>
      </c>
      <c r="I396" s="51">
        <v>4.99E-2</v>
      </c>
      <c r="J396" s="51">
        <v>6.8400000000000002E-2</v>
      </c>
      <c r="L396" t="str">
        <f>VLOOKUP(B396,TABLE!D:E,2,FALSE)</f>
        <v>USD</v>
      </c>
      <c r="M396" t="str">
        <f t="shared" si="6"/>
        <v>USD</v>
      </c>
      <c r="N396" s="51">
        <f>VLOOKUP($L396,TABLE!$I$3:$O$13,N$2,FALSE)/VLOOKUP($M396,TABLE!$I$3:$O$13,N$2,FALSE)*F396</f>
        <v>0.16250000000000001</v>
      </c>
      <c r="O396" s="51">
        <f>VLOOKUP($L396,TABLE!$I$3:$O$13,O$2,FALSE)/VLOOKUP($M396,TABLE!$I$3:$O$13,O$2,FALSE)*G396</f>
        <v>5.5399999999999998E-2</v>
      </c>
      <c r="P396" s="51">
        <f>VLOOKUP($L396,TABLE!$I$3:$O$13,P$2,FALSE)/VLOOKUP($M396,TABLE!$I$3:$O$13,P$2,FALSE)*H396</f>
        <v>3.9700000000000006E-2</v>
      </c>
      <c r="Q396" s="51">
        <f>VLOOKUP($L396,TABLE!$I$3:$O$13,Q$2,FALSE)/VLOOKUP($M396,TABLE!$I$3:$O$13,Q$2,FALSE)*I396</f>
        <v>4.99E-2</v>
      </c>
      <c r="R396" s="51">
        <f>VLOOKUP($L396,TABLE!$I$3:$O$13,R$2,FALSE)/VLOOKUP($M396,TABLE!$I$3:$O$13,R$2,FALSE)*J396</f>
        <v>6.8400000000000002E-2</v>
      </c>
    </row>
    <row r="397" spans="2:18">
      <c r="B397" t="s">
        <v>45</v>
      </c>
      <c r="C397" t="s">
        <v>124</v>
      </c>
      <c r="D397" t="s">
        <v>42</v>
      </c>
      <c r="E397" t="s">
        <v>603</v>
      </c>
      <c r="F397" s="51">
        <v>0</v>
      </c>
      <c r="G397" s="51">
        <v>0</v>
      </c>
      <c r="H397" s="51">
        <v>0</v>
      </c>
      <c r="I397" s="51">
        <v>0</v>
      </c>
      <c r="J397" s="51">
        <v>0</v>
      </c>
      <c r="L397" t="str">
        <f>VLOOKUP(B397,TABLE!D:E,2,FALSE)</f>
        <v>USD</v>
      </c>
      <c r="M397" t="str">
        <f t="shared" si="6"/>
        <v>USD</v>
      </c>
      <c r="N397" s="51">
        <f>VLOOKUP($L397,TABLE!$I$3:$O$13,N$2,FALSE)/VLOOKUP($M397,TABLE!$I$3:$O$13,N$2,FALSE)*F397</f>
        <v>0</v>
      </c>
      <c r="O397" s="51">
        <f>VLOOKUP($L397,TABLE!$I$3:$O$13,O$2,FALSE)/VLOOKUP($M397,TABLE!$I$3:$O$13,O$2,FALSE)*G397</f>
        <v>0</v>
      </c>
      <c r="P397" s="51">
        <f>VLOOKUP($L397,TABLE!$I$3:$O$13,P$2,FALSE)/VLOOKUP($M397,TABLE!$I$3:$O$13,P$2,FALSE)*H397</f>
        <v>0</v>
      </c>
      <c r="Q397" s="51">
        <f>VLOOKUP($L397,TABLE!$I$3:$O$13,Q$2,FALSE)/VLOOKUP($M397,TABLE!$I$3:$O$13,Q$2,FALSE)*I397</f>
        <v>0</v>
      </c>
      <c r="R397" s="51">
        <f>VLOOKUP($L397,TABLE!$I$3:$O$13,R$2,FALSE)/VLOOKUP($M397,TABLE!$I$3:$O$13,R$2,FALSE)*J397</f>
        <v>0</v>
      </c>
    </row>
    <row r="398" spans="2:18">
      <c r="B398" t="s">
        <v>45</v>
      </c>
      <c r="C398" t="s">
        <v>124</v>
      </c>
      <c r="D398" t="s">
        <v>145</v>
      </c>
      <c r="E398" t="s">
        <v>604</v>
      </c>
      <c r="F398" s="51"/>
      <c r="G398" s="51"/>
      <c r="H398" s="51"/>
      <c r="I398" s="51"/>
      <c r="J398" s="51"/>
      <c r="L398" t="str">
        <f>VLOOKUP(B398,TABLE!D:E,2,FALSE)</f>
        <v>USD</v>
      </c>
      <c r="M398" t="str">
        <f t="shared" si="6"/>
        <v>USD</v>
      </c>
      <c r="N398" s="51">
        <f>VLOOKUP($L398,TABLE!$I$3:$O$13,N$2,FALSE)/VLOOKUP($M398,TABLE!$I$3:$O$13,N$2,FALSE)*F398</f>
        <v>0</v>
      </c>
      <c r="O398" s="51">
        <f>VLOOKUP($L398,TABLE!$I$3:$O$13,O$2,FALSE)/VLOOKUP($M398,TABLE!$I$3:$O$13,O$2,FALSE)*G398</f>
        <v>0</v>
      </c>
      <c r="P398" s="51">
        <f>VLOOKUP($L398,TABLE!$I$3:$O$13,P$2,FALSE)/VLOOKUP($M398,TABLE!$I$3:$O$13,P$2,FALSE)*H398</f>
        <v>0</v>
      </c>
      <c r="Q398" s="51">
        <f>VLOOKUP($L398,TABLE!$I$3:$O$13,Q$2,FALSE)/VLOOKUP($M398,TABLE!$I$3:$O$13,Q$2,FALSE)*I398</f>
        <v>0</v>
      </c>
      <c r="R398" s="51">
        <f>VLOOKUP($L398,TABLE!$I$3:$O$13,R$2,FALSE)/VLOOKUP($M398,TABLE!$I$3:$O$13,R$2,FALSE)*J398</f>
        <v>0</v>
      </c>
    </row>
    <row r="399" spans="2:18">
      <c r="B399" t="s">
        <v>45</v>
      </c>
      <c r="C399" t="s">
        <v>124</v>
      </c>
      <c r="D399" t="s">
        <v>36</v>
      </c>
      <c r="E399" t="s">
        <v>605</v>
      </c>
      <c r="F399" s="51">
        <v>0.4325</v>
      </c>
      <c r="G399" s="51">
        <v>0.44569999999999999</v>
      </c>
      <c r="H399" s="51">
        <v>0.48110000000000003</v>
      </c>
      <c r="I399" s="51">
        <v>0.46889999999999998</v>
      </c>
      <c r="J399" s="51">
        <v>0.50339999999999996</v>
      </c>
      <c r="L399" t="str">
        <f>VLOOKUP(B399,TABLE!D:E,2,FALSE)</f>
        <v>USD</v>
      </c>
      <c r="M399" t="str">
        <f t="shared" si="6"/>
        <v>USD</v>
      </c>
      <c r="N399" s="51">
        <f>VLOOKUP($L399,TABLE!$I$3:$O$13,N$2,FALSE)/VLOOKUP($M399,TABLE!$I$3:$O$13,N$2,FALSE)*F399</f>
        <v>0.4325</v>
      </c>
      <c r="O399" s="51">
        <f>VLOOKUP($L399,TABLE!$I$3:$O$13,O$2,FALSE)/VLOOKUP($M399,TABLE!$I$3:$O$13,O$2,FALSE)*G399</f>
        <v>0.44569999999999999</v>
      </c>
      <c r="P399" s="51">
        <f>VLOOKUP($L399,TABLE!$I$3:$O$13,P$2,FALSE)/VLOOKUP($M399,TABLE!$I$3:$O$13,P$2,FALSE)*H399</f>
        <v>0.48110000000000003</v>
      </c>
      <c r="Q399" s="51">
        <f>VLOOKUP($L399,TABLE!$I$3:$O$13,Q$2,FALSE)/VLOOKUP($M399,TABLE!$I$3:$O$13,Q$2,FALSE)*I399</f>
        <v>0.46889999999999998</v>
      </c>
      <c r="R399" s="51">
        <f>VLOOKUP($L399,TABLE!$I$3:$O$13,R$2,FALSE)/VLOOKUP($M399,TABLE!$I$3:$O$13,R$2,FALSE)*J399</f>
        <v>0.50339999999999996</v>
      </c>
    </row>
    <row r="400" spans="2:18">
      <c r="B400" t="s">
        <v>45</v>
      </c>
      <c r="C400" t="s">
        <v>124</v>
      </c>
      <c r="D400" t="s">
        <v>38</v>
      </c>
      <c r="E400" t="s">
        <v>606</v>
      </c>
      <c r="F400" s="51">
        <v>8.3400000000000002E-2</v>
      </c>
      <c r="G400" s="51">
        <v>8.14E-2</v>
      </c>
      <c r="H400" s="51">
        <v>0.11070000000000001</v>
      </c>
      <c r="I400" s="51">
        <v>0.1043</v>
      </c>
      <c r="J400" s="51">
        <v>0.10840000000000001</v>
      </c>
      <c r="L400" t="str">
        <f>VLOOKUP(B400,TABLE!D:E,2,FALSE)</f>
        <v>USD</v>
      </c>
      <c r="M400" t="str">
        <f t="shared" si="6"/>
        <v>USD</v>
      </c>
      <c r="N400" s="51">
        <f>VLOOKUP($L400,TABLE!$I$3:$O$13,N$2,FALSE)/VLOOKUP($M400,TABLE!$I$3:$O$13,N$2,FALSE)*F400</f>
        <v>8.3400000000000002E-2</v>
      </c>
      <c r="O400" s="51">
        <f>VLOOKUP($L400,TABLE!$I$3:$O$13,O$2,FALSE)/VLOOKUP($M400,TABLE!$I$3:$O$13,O$2,FALSE)*G400</f>
        <v>8.14E-2</v>
      </c>
      <c r="P400" s="51">
        <f>VLOOKUP($L400,TABLE!$I$3:$O$13,P$2,FALSE)/VLOOKUP($M400,TABLE!$I$3:$O$13,P$2,FALSE)*H400</f>
        <v>0.11070000000000001</v>
      </c>
      <c r="Q400" s="51">
        <f>VLOOKUP($L400,TABLE!$I$3:$O$13,Q$2,FALSE)/VLOOKUP($M400,TABLE!$I$3:$O$13,Q$2,FALSE)*I400</f>
        <v>0.1043</v>
      </c>
      <c r="R400" s="51">
        <f>VLOOKUP($L400,TABLE!$I$3:$O$13,R$2,FALSE)/VLOOKUP($M400,TABLE!$I$3:$O$13,R$2,FALSE)*J400</f>
        <v>0.10840000000000001</v>
      </c>
    </row>
    <row r="401" spans="2:18">
      <c r="B401" t="s">
        <v>45</v>
      </c>
      <c r="C401" t="s">
        <v>124</v>
      </c>
      <c r="D401" t="s">
        <v>40</v>
      </c>
      <c r="E401" t="s">
        <v>607</v>
      </c>
      <c r="F401" s="51">
        <v>0.34910000000000002</v>
      </c>
      <c r="G401" s="51">
        <v>0.36430000000000001</v>
      </c>
      <c r="H401" s="51">
        <v>0.37039999999999995</v>
      </c>
      <c r="I401" s="51">
        <v>0.36460000000000004</v>
      </c>
      <c r="J401" s="51">
        <v>0.39500000000000002</v>
      </c>
      <c r="L401" t="str">
        <f>VLOOKUP(B401,TABLE!D:E,2,FALSE)</f>
        <v>USD</v>
      </c>
      <c r="M401" t="str">
        <f t="shared" si="6"/>
        <v>USD</v>
      </c>
      <c r="N401" s="51">
        <f>VLOOKUP($L401,TABLE!$I$3:$O$13,N$2,FALSE)/VLOOKUP($M401,TABLE!$I$3:$O$13,N$2,FALSE)*F401</f>
        <v>0.34910000000000002</v>
      </c>
      <c r="O401" s="51">
        <f>VLOOKUP($L401,TABLE!$I$3:$O$13,O$2,FALSE)/VLOOKUP($M401,TABLE!$I$3:$O$13,O$2,FALSE)*G401</f>
        <v>0.36430000000000001</v>
      </c>
      <c r="P401" s="51">
        <f>VLOOKUP($L401,TABLE!$I$3:$O$13,P$2,FALSE)/VLOOKUP($M401,TABLE!$I$3:$O$13,P$2,FALSE)*H401</f>
        <v>0.37039999999999995</v>
      </c>
      <c r="Q401" s="51">
        <f>VLOOKUP($L401,TABLE!$I$3:$O$13,Q$2,FALSE)/VLOOKUP($M401,TABLE!$I$3:$O$13,Q$2,FALSE)*I401</f>
        <v>0.36460000000000004</v>
      </c>
      <c r="R401" s="51">
        <f>VLOOKUP($L401,TABLE!$I$3:$O$13,R$2,FALSE)/VLOOKUP($M401,TABLE!$I$3:$O$13,R$2,FALSE)*J401</f>
        <v>0.39500000000000002</v>
      </c>
    </row>
    <row r="402" spans="2:18">
      <c r="B402" t="s">
        <v>45</v>
      </c>
      <c r="C402" t="s">
        <v>124</v>
      </c>
      <c r="D402" t="s">
        <v>46</v>
      </c>
      <c r="E402" t="s">
        <v>608</v>
      </c>
      <c r="F402" s="51">
        <v>0.89379999999999993</v>
      </c>
      <c r="G402" s="51">
        <v>0.44880000000000003</v>
      </c>
      <c r="H402" s="51">
        <v>0.61570000000000003</v>
      </c>
      <c r="I402" s="51">
        <v>0.64890000000000003</v>
      </c>
      <c r="J402" s="51">
        <v>0.61009999999999998</v>
      </c>
      <c r="L402" t="str">
        <f>VLOOKUP(B402,TABLE!D:E,2,FALSE)</f>
        <v>USD</v>
      </c>
      <c r="M402" t="str">
        <f t="shared" si="6"/>
        <v>USD</v>
      </c>
      <c r="N402" s="51">
        <f>VLOOKUP($L402,TABLE!$I$3:$O$13,N$2,FALSE)/VLOOKUP($M402,TABLE!$I$3:$O$13,N$2,FALSE)*F402</f>
        <v>0.89379999999999993</v>
      </c>
      <c r="O402" s="51">
        <f>VLOOKUP($L402,TABLE!$I$3:$O$13,O$2,FALSE)/VLOOKUP($M402,TABLE!$I$3:$O$13,O$2,FALSE)*G402</f>
        <v>0.44880000000000003</v>
      </c>
      <c r="P402" s="51">
        <f>VLOOKUP($L402,TABLE!$I$3:$O$13,P$2,FALSE)/VLOOKUP($M402,TABLE!$I$3:$O$13,P$2,FALSE)*H402</f>
        <v>0.61570000000000003</v>
      </c>
      <c r="Q402" s="51">
        <f>VLOOKUP($L402,TABLE!$I$3:$O$13,Q$2,FALSE)/VLOOKUP($M402,TABLE!$I$3:$O$13,Q$2,FALSE)*I402</f>
        <v>0.64890000000000003</v>
      </c>
      <c r="R402" s="51">
        <f>VLOOKUP($L402,TABLE!$I$3:$O$13,R$2,FALSE)/VLOOKUP($M402,TABLE!$I$3:$O$13,R$2,FALSE)*J402</f>
        <v>0.61009999999999998</v>
      </c>
    </row>
    <row r="403" spans="2:18">
      <c r="B403" t="s">
        <v>47</v>
      </c>
      <c r="C403" t="s">
        <v>124</v>
      </c>
      <c r="D403" t="s">
        <v>9</v>
      </c>
      <c r="E403" t="s">
        <v>609</v>
      </c>
      <c r="F403" s="51">
        <v>494.02</v>
      </c>
      <c r="G403" s="51">
        <v>783</v>
      </c>
      <c r="H403" s="51">
        <v>933.63</v>
      </c>
      <c r="I403" s="51">
        <v>1020</v>
      </c>
      <c r="J403" s="51">
        <v>1100</v>
      </c>
      <c r="L403" t="str">
        <f>VLOOKUP(B403,TABLE!D:E,2,FALSE)</f>
        <v>JPY</v>
      </c>
      <c r="M403" t="str">
        <f t="shared" si="6"/>
        <v>USD</v>
      </c>
      <c r="N403" s="51">
        <f>VLOOKUP($L403,TABLE!$I$3:$O$13,N$2,FALSE)/VLOOKUP($M403,TABLE!$I$3:$O$13,N$2,FALSE)*F403</f>
        <v>5.3365622444291292</v>
      </c>
      <c r="O403" s="51">
        <f>VLOOKUP($L403,TABLE!$I$3:$O$13,O$2,FALSE)/VLOOKUP($M403,TABLE!$I$3:$O$13,O$2,FALSE)*G403</f>
        <v>9.6335974072740385</v>
      </c>
      <c r="P403" s="51">
        <f>VLOOKUP($L403,TABLE!$I$3:$O$13,P$2,FALSE)/VLOOKUP($M403,TABLE!$I$3:$O$13,P$2,FALSE)*H403</f>
        <v>12.099661637701246</v>
      </c>
      <c r="Q403" s="51">
        <f>VLOOKUP($L403,TABLE!$I$3:$O$13,Q$2,FALSE)/VLOOKUP($M403,TABLE!$I$3:$O$13,Q$2,FALSE)*I403</f>
        <v>11.83968681184243</v>
      </c>
      <c r="R403" s="51">
        <f>VLOOKUP($L403,TABLE!$I$3:$O$13,R$2,FALSE)/VLOOKUP($M403,TABLE!$I$3:$O$13,R$2,FALSE)*J403</f>
        <v>10.48535814906514</v>
      </c>
    </row>
    <row r="404" spans="2:18">
      <c r="B404" t="s">
        <v>47</v>
      </c>
      <c r="C404" t="s">
        <v>124</v>
      </c>
      <c r="D404" t="s">
        <v>11</v>
      </c>
      <c r="E404" t="s">
        <v>610</v>
      </c>
      <c r="F404" s="51">
        <v>369.59</v>
      </c>
      <c r="G404" s="51">
        <v>561.88</v>
      </c>
      <c r="H404" s="51">
        <v>485.11</v>
      </c>
      <c r="I404" s="51">
        <v>618.52</v>
      </c>
      <c r="J404" s="51">
        <v>638.22</v>
      </c>
      <c r="L404" t="str">
        <f>VLOOKUP(B404,TABLE!D:E,2,FALSE)</f>
        <v>JPY</v>
      </c>
      <c r="M404" t="str">
        <f t="shared" si="6"/>
        <v>USD</v>
      </c>
      <c r="N404" s="51">
        <f>VLOOKUP($L404,TABLE!$I$3:$O$13,N$2,FALSE)/VLOOKUP($M404,TABLE!$I$3:$O$13,N$2,FALSE)*F404</f>
        <v>3.9924295371008496</v>
      </c>
      <c r="O404" s="51">
        <f>VLOOKUP($L404,TABLE!$I$3:$O$13,O$2,FALSE)/VLOOKUP($M404,TABLE!$I$3:$O$13,O$2,FALSE)*G404</f>
        <v>6.9130596567038776</v>
      </c>
      <c r="P404" s="51">
        <f>VLOOKUP($L404,TABLE!$I$3:$O$13,P$2,FALSE)/VLOOKUP($M404,TABLE!$I$3:$O$13,P$2,FALSE)*H404</f>
        <v>6.286930429683335</v>
      </c>
      <c r="Q404" s="51">
        <f>VLOOKUP($L404,TABLE!$I$3:$O$13,Q$2,FALSE)/VLOOKUP($M404,TABLE!$I$3:$O$13,Q$2,FALSE)*I404</f>
        <v>7.1794932224125283</v>
      </c>
      <c r="R404" s="51">
        <f>VLOOKUP($L404,TABLE!$I$3:$O$13,R$2,FALSE)/VLOOKUP($M404,TABLE!$I$3:$O$13,R$2,FALSE)*J404</f>
        <v>6.0836047980875945</v>
      </c>
    </row>
    <row r="405" spans="2:18">
      <c r="B405" t="s">
        <v>47</v>
      </c>
      <c r="C405" t="s">
        <v>124</v>
      </c>
      <c r="D405" t="s">
        <v>13</v>
      </c>
      <c r="E405" t="s">
        <v>611</v>
      </c>
      <c r="F405" s="51">
        <v>255.53</v>
      </c>
      <c r="G405" s="51">
        <v>266.26</v>
      </c>
      <c r="H405" s="51">
        <v>288.74</v>
      </c>
      <c r="I405" s="51">
        <v>324.51</v>
      </c>
      <c r="J405" s="51">
        <v>370.66</v>
      </c>
      <c r="L405" t="str">
        <f>VLOOKUP(B405,TABLE!D:E,2,FALSE)</f>
        <v>JPY</v>
      </c>
      <c r="M405" t="str">
        <f t="shared" si="6"/>
        <v>USD</v>
      </c>
      <c r="N405" s="51">
        <f>VLOOKUP($L405,TABLE!$I$3:$O$13,N$2,FALSE)/VLOOKUP($M405,TABLE!$I$3:$O$13,N$2,FALSE)*F405</f>
        <v>2.7603168906501261</v>
      </c>
      <c r="O405" s="51">
        <f>VLOOKUP($L405,TABLE!$I$3:$O$13,O$2,FALSE)/VLOOKUP($M405,TABLE!$I$3:$O$13,O$2,FALSE)*G405</f>
        <v>3.2759152562717566</v>
      </c>
      <c r="P405" s="51">
        <f>VLOOKUP($L405,TABLE!$I$3:$O$13,P$2,FALSE)/VLOOKUP($M405,TABLE!$I$3:$O$13,P$2,FALSE)*H405</f>
        <v>3.7420137541315706</v>
      </c>
      <c r="Q405" s="51">
        <f>VLOOKUP($L405,TABLE!$I$3:$O$13,Q$2,FALSE)/VLOOKUP($M405,TABLE!$I$3:$O$13,Q$2,FALSE)*I405</f>
        <v>3.7667615365793985</v>
      </c>
      <c r="R405" s="51">
        <f>VLOOKUP($L405,TABLE!$I$3:$O$13,R$2,FALSE)/VLOOKUP($M405,TABLE!$I$3:$O$13,R$2,FALSE)*J405</f>
        <v>3.5331844104840773</v>
      </c>
    </row>
    <row r="406" spans="2:18">
      <c r="B406" t="s">
        <v>47</v>
      </c>
      <c r="C406" t="s">
        <v>124</v>
      </c>
      <c r="D406" t="s">
        <v>15</v>
      </c>
      <c r="E406" t="s">
        <v>612</v>
      </c>
      <c r="F406" s="51">
        <v>1270</v>
      </c>
      <c r="G406" s="51">
        <v>1760</v>
      </c>
      <c r="H406" s="51">
        <v>1860</v>
      </c>
      <c r="I406" s="51">
        <v>2120</v>
      </c>
      <c r="J406" s="51">
        <v>2280</v>
      </c>
      <c r="L406" t="str">
        <f>VLOOKUP(B406,TABLE!D:E,2,FALSE)</f>
        <v>JPY</v>
      </c>
      <c r="M406" t="str">
        <f t="shared" si="6"/>
        <v>USD</v>
      </c>
      <c r="N406" s="51">
        <f>VLOOKUP($L406,TABLE!$I$3:$O$13,N$2,FALSE)/VLOOKUP($M406,TABLE!$I$3:$O$13,N$2,FALSE)*F406</f>
        <v>13.718946703422926</v>
      </c>
      <c r="O406" s="51">
        <f>VLOOKUP($L406,TABLE!$I$3:$O$13,O$2,FALSE)/VLOOKUP($M406,TABLE!$I$3:$O$13,O$2,FALSE)*G406</f>
        <v>21.654063137678552</v>
      </c>
      <c r="P406" s="51">
        <f>VLOOKUP($L406,TABLE!$I$3:$O$13,P$2,FALSE)/VLOOKUP($M406,TABLE!$I$3:$O$13,P$2,FALSE)*H406</f>
        <v>24.105235099690798</v>
      </c>
      <c r="Q406" s="51">
        <f>VLOOKUP($L406,TABLE!$I$3:$O$13,Q$2,FALSE)/VLOOKUP($M406,TABLE!$I$3:$O$13,Q$2,FALSE)*I406</f>
        <v>24.607976510888186</v>
      </c>
      <c r="R406" s="51">
        <f>VLOOKUP($L406,TABLE!$I$3:$O$13,R$2,FALSE)/VLOOKUP($M406,TABLE!$I$3:$O$13,R$2,FALSE)*J406</f>
        <v>21.733287799880472</v>
      </c>
    </row>
    <row r="407" spans="2:18">
      <c r="B407" t="s">
        <v>47</v>
      </c>
      <c r="C407" t="s">
        <v>124</v>
      </c>
      <c r="D407" t="s">
        <v>18</v>
      </c>
      <c r="E407" t="s">
        <v>613</v>
      </c>
      <c r="F407" s="51">
        <v>3020</v>
      </c>
      <c r="G407" s="51">
        <v>3360</v>
      </c>
      <c r="H407" s="51">
        <v>3380</v>
      </c>
      <c r="I407" s="51">
        <v>3610</v>
      </c>
      <c r="J407" s="51">
        <v>3980</v>
      </c>
      <c r="L407" t="str">
        <f>VLOOKUP(B407,TABLE!D:E,2,FALSE)</f>
        <v>JPY</v>
      </c>
      <c r="M407" t="str">
        <f t="shared" si="6"/>
        <v>USD</v>
      </c>
      <c r="N407" s="51">
        <f>VLOOKUP($L407,TABLE!$I$3:$O$13,N$2,FALSE)/VLOOKUP($M407,TABLE!$I$3:$O$13,N$2,FALSE)*F407</f>
        <v>32.623007121525383</v>
      </c>
      <c r="O407" s="51">
        <f>VLOOKUP($L407,TABLE!$I$3:$O$13,O$2,FALSE)/VLOOKUP($M407,TABLE!$I$3:$O$13,O$2,FALSE)*G407</f>
        <v>41.339575081022694</v>
      </c>
      <c r="P407" s="51">
        <f>VLOOKUP($L407,TABLE!$I$3:$O$13,P$2,FALSE)/VLOOKUP($M407,TABLE!$I$3:$O$13,P$2,FALSE)*H407</f>
        <v>43.804136901588656</v>
      </c>
      <c r="Q407" s="51">
        <f>VLOOKUP($L407,TABLE!$I$3:$O$13,Q$2,FALSE)/VLOOKUP($M407,TABLE!$I$3:$O$13,Q$2,FALSE)*I407</f>
        <v>41.903205285050163</v>
      </c>
      <c r="R407" s="51">
        <f>VLOOKUP($L407,TABLE!$I$3:$O$13,R$2,FALSE)/VLOOKUP($M407,TABLE!$I$3:$O$13,R$2,FALSE)*J407</f>
        <v>37.937932212072056</v>
      </c>
    </row>
    <row r="408" spans="2:18">
      <c r="B408" t="s">
        <v>47</v>
      </c>
      <c r="C408" t="s">
        <v>124</v>
      </c>
      <c r="D408" t="s">
        <v>21</v>
      </c>
      <c r="E408" t="s">
        <v>614</v>
      </c>
      <c r="F408" s="51">
        <v>608.07000000000005</v>
      </c>
      <c r="G408" s="51">
        <v>761.75</v>
      </c>
      <c r="H408" s="51">
        <v>792.47</v>
      </c>
      <c r="I408" s="51">
        <v>813.34</v>
      </c>
      <c r="J408" s="51">
        <v>973.55</v>
      </c>
      <c r="L408" t="str">
        <f>VLOOKUP(B408,TABLE!D:E,2,FALSE)</f>
        <v>JPY</v>
      </c>
      <c r="M408" t="str">
        <f t="shared" si="6"/>
        <v>USD</v>
      </c>
      <c r="N408" s="51">
        <f>VLOOKUP($L408,TABLE!$I$3:$O$13,N$2,FALSE)/VLOOKUP($M408,TABLE!$I$3:$O$13,N$2,FALSE)*F408</f>
        <v>6.5685668676774638</v>
      </c>
      <c r="O408" s="51">
        <f>VLOOKUP($L408,TABLE!$I$3:$O$13,O$2,FALSE)/VLOOKUP($M408,TABLE!$I$3:$O$13,O$2,FALSE)*G408</f>
        <v>9.372149201776498</v>
      </c>
      <c r="P408" s="51">
        <f>VLOOKUP($L408,TABLE!$I$3:$O$13,P$2,FALSE)/VLOOKUP($M408,TABLE!$I$3:$O$13,P$2,FALSE)*H408</f>
        <v>10.270255730888154</v>
      </c>
      <c r="Q408" s="51">
        <f>VLOOKUP($L408,TABLE!$I$3:$O$13,Q$2,FALSE)/VLOOKUP($M408,TABLE!$I$3:$O$13,Q$2,FALSE)*I408</f>
        <v>9.4408734034744324</v>
      </c>
      <c r="R408" s="51">
        <f>VLOOKUP($L408,TABLE!$I$3:$O$13,R$2,FALSE)/VLOOKUP($M408,TABLE!$I$3:$O$13,R$2,FALSE)*J408</f>
        <v>9.2800185691112436</v>
      </c>
    </row>
    <row r="409" spans="2:18">
      <c r="B409" t="s">
        <v>47</v>
      </c>
      <c r="C409" t="s">
        <v>124</v>
      </c>
      <c r="D409" t="s">
        <v>20</v>
      </c>
      <c r="E409" t="s">
        <v>615</v>
      </c>
      <c r="F409" s="51">
        <v>281.73</v>
      </c>
      <c r="G409" s="51">
        <v>423</v>
      </c>
      <c r="H409" s="51">
        <v>394.8</v>
      </c>
      <c r="I409" s="51">
        <v>457.78</v>
      </c>
      <c r="J409" s="51">
        <v>456.6</v>
      </c>
      <c r="L409" t="str">
        <f>VLOOKUP(B409,TABLE!D:E,2,FALSE)</f>
        <v>JPY</v>
      </c>
      <c r="M409" t="str">
        <f t="shared" si="6"/>
        <v>USD</v>
      </c>
      <c r="N409" s="51">
        <f>VLOOKUP($L409,TABLE!$I$3:$O$13,N$2,FALSE)/VLOOKUP($M409,TABLE!$I$3:$O$13,N$2,FALSE)*F409</f>
        <v>3.0433376809097177</v>
      </c>
      <c r="O409" s="51">
        <f>VLOOKUP($L409,TABLE!$I$3:$O$13,O$2,FALSE)/VLOOKUP($M409,TABLE!$I$3:$O$13,O$2,FALSE)*G409</f>
        <v>5.2043572200216071</v>
      </c>
      <c r="P409" s="51">
        <f>VLOOKUP($L409,TABLE!$I$3:$O$13,P$2,FALSE)/VLOOKUP($M409,TABLE!$I$3:$O$13,P$2,FALSE)*H409</f>
        <v>5.1165305469666276</v>
      </c>
      <c r="Q409" s="51">
        <f>VLOOKUP($L409,TABLE!$I$3:$O$13,Q$2,FALSE)/VLOOKUP($M409,TABLE!$I$3:$O$13,Q$2,FALSE)*I409</f>
        <v>5.313697871299242</v>
      </c>
      <c r="R409" s="51">
        <f>VLOOKUP($L409,TABLE!$I$3:$O$13,R$2,FALSE)/VLOOKUP($M409,TABLE!$I$3:$O$13,R$2,FALSE)*J409</f>
        <v>4.3523768462392214</v>
      </c>
    </row>
    <row r="410" spans="2:18">
      <c r="B410" t="s">
        <v>47</v>
      </c>
      <c r="C410" t="s">
        <v>124</v>
      </c>
      <c r="D410" t="s">
        <v>25</v>
      </c>
      <c r="E410" t="s">
        <v>616</v>
      </c>
      <c r="F410" s="51">
        <v>1900</v>
      </c>
      <c r="G410" s="51">
        <v>2029.9999999999998</v>
      </c>
      <c r="H410" s="51">
        <v>2070</v>
      </c>
      <c r="I410" s="51">
        <v>2120</v>
      </c>
      <c r="J410" s="51">
        <v>2430</v>
      </c>
      <c r="L410" t="str">
        <f>VLOOKUP(B410,TABLE!D:E,2,FALSE)</f>
        <v>JPY</v>
      </c>
      <c r="M410" t="str">
        <f t="shared" si="6"/>
        <v>USD</v>
      </c>
      <c r="N410" s="51">
        <f>VLOOKUP($L410,TABLE!$I$3:$O$13,N$2,FALSE)/VLOOKUP($M410,TABLE!$I$3:$O$13,N$2,FALSE)*F410</f>
        <v>20.52440845393981</v>
      </c>
      <c r="O410" s="51">
        <f>VLOOKUP($L410,TABLE!$I$3:$O$13,O$2,FALSE)/VLOOKUP($M410,TABLE!$I$3:$O$13,O$2,FALSE)*G410</f>
        <v>24.975993278117873</v>
      </c>
      <c r="P410" s="51">
        <f>VLOOKUP($L410,TABLE!$I$3:$O$13,P$2,FALSE)/VLOOKUP($M410,TABLE!$I$3:$O$13,P$2,FALSE)*H410</f>
        <v>26.82679390126879</v>
      </c>
      <c r="Q410" s="51">
        <f>VLOOKUP($L410,TABLE!$I$3:$O$13,Q$2,FALSE)/VLOOKUP($M410,TABLE!$I$3:$O$13,Q$2,FALSE)*I410</f>
        <v>24.607976510888186</v>
      </c>
      <c r="R410" s="51">
        <f>VLOOKUP($L410,TABLE!$I$3:$O$13,R$2,FALSE)/VLOOKUP($M410,TABLE!$I$3:$O$13,R$2,FALSE)*J410</f>
        <v>23.163109365662084</v>
      </c>
    </row>
    <row r="411" spans="2:18">
      <c r="B411" t="s">
        <v>47</v>
      </c>
      <c r="C411" t="s">
        <v>124</v>
      </c>
      <c r="D411" t="s">
        <v>30</v>
      </c>
      <c r="E411" t="s">
        <v>617</v>
      </c>
      <c r="F411" s="51">
        <v>3140</v>
      </c>
      <c r="G411" s="51">
        <v>2980</v>
      </c>
      <c r="H411" s="51">
        <v>3130</v>
      </c>
      <c r="I411" s="51">
        <v>3150</v>
      </c>
      <c r="J411" s="51">
        <v>3580</v>
      </c>
      <c r="L411" t="str">
        <f>VLOOKUP(B411,TABLE!D:E,2,FALSE)</f>
        <v>JPY</v>
      </c>
      <c r="M411" t="str">
        <f t="shared" si="6"/>
        <v>USD</v>
      </c>
      <c r="N411" s="51">
        <f>VLOOKUP($L411,TABLE!$I$3:$O$13,N$2,FALSE)/VLOOKUP($M411,TABLE!$I$3:$O$13,N$2,FALSE)*F411</f>
        <v>33.919285550195269</v>
      </c>
      <c r="O411" s="51">
        <f>VLOOKUP($L411,TABLE!$I$3:$O$13,O$2,FALSE)/VLOOKUP($M411,TABLE!$I$3:$O$13,O$2,FALSE)*G411</f>
        <v>36.664265994478455</v>
      </c>
      <c r="P411" s="51">
        <f>VLOOKUP($L411,TABLE!$I$3:$O$13,P$2,FALSE)/VLOOKUP($M411,TABLE!$I$3:$O$13,P$2,FALSE)*H411</f>
        <v>40.564185947329136</v>
      </c>
      <c r="Q411" s="51">
        <f>VLOOKUP($L411,TABLE!$I$3:$O$13,Q$2,FALSE)/VLOOKUP($M411,TABLE!$I$3:$O$13,Q$2,FALSE)*I411</f>
        <v>36.56373868363103</v>
      </c>
      <c r="R411" s="51">
        <f>VLOOKUP($L411,TABLE!$I$3:$O$13,R$2,FALSE)/VLOOKUP($M411,TABLE!$I$3:$O$13,R$2,FALSE)*J411</f>
        <v>34.12507470332109</v>
      </c>
    </row>
    <row r="412" spans="2:18">
      <c r="B412" t="s">
        <v>47</v>
      </c>
      <c r="C412" t="s">
        <v>124</v>
      </c>
      <c r="D412" t="s">
        <v>34</v>
      </c>
      <c r="E412" t="s">
        <v>618</v>
      </c>
      <c r="F412" s="51">
        <v>571.44000000000005</v>
      </c>
      <c r="G412" s="51">
        <v>671.86</v>
      </c>
      <c r="H412" s="51">
        <v>746.24</v>
      </c>
      <c r="I412" s="51">
        <v>720.01</v>
      </c>
      <c r="J412" s="51">
        <v>894.66</v>
      </c>
      <c r="L412" t="str">
        <f>VLOOKUP(B412,TABLE!D:E,2,FALSE)</f>
        <v>JPY</v>
      </c>
      <c r="M412" t="str">
        <f t="shared" si="6"/>
        <v>USD</v>
      </c>
      <c r="N412" s="51">
        <f>VLOOKUP($L412,TABLE!$I$3:$O$13,N$2,FALSE)/VLOOKUP($M412,TABLE!$I$3:$O$13,N$2,FALSE)*F412</f>
        <v>6.1728778773259823</v>
      </c>
      <c r="O412" s="51">
        <f>VLOOKUP($L412,TABLE!$I$3:$O$13,O$2,FALSE)/VLOOKUP($M412,TABLE!$I$3:$O$13,O$2,FALSE)*G412</f>
        <v>8.2661925339094964</v>
      </c>
      <c r="P412" s="51">
        <f>VLOOKUP($L412,TABLE!$I$3:$O$13,P$2,FALSE)/VLOOKUP($M412,TABLE!$I$3:$O$13,P$2,FALSE)*H412</f>
        <v>9.6711240004264845</v>
      </c>
      <c r="Q412" s="51">
        <f>VLOOKUP($L412,TABLE!$I$3:$O$13,Q$2,FALSE)/VLOOKUP($M412,TABLE!$I$3:$O$13,Q$2,FALSE)*I412</f>
        <v>8.3575420601908501</v>
      </c>
      <c r="R412" s="51">
        <f>VLOOKUP($L412,TABLE!$I$3:$O$13,R$2,FALSE)/VLOOKUP($M412,TABLE!$I$3:$O$13,R$2,FALSE)*J412</f>
        <v>8.5280277469478349</v>
      </c>
    </row>
    <row r="413" spans="2:18">
      <c r="B413" t="s">
        <v>47</v>
      </c>
      <c r="C413" t="s">
        <v>124</v>
      </c>
      <c r="D413" t="s">
        <v>48</v>
      </c>
      <c r="E413" t="s">
        <v>619</v>
      </c>
      <c r="F413" s="51">
        <v>-84.09</v>
      </c>
      <c r="G413" s="51">
        <v>73.430000000000007</v>
      </c>
      <c r="H413" s="51">
        <v>143.03</v>
      </c>
      <c r="I413" s="51">
        <v>89.3</v>
      </c>
      <c r="J413" s="51">
        <v>181.68</v>
      </c>
      <c r="L413" t="str">
        <f>VLOOKUP(B413,TABLE!D:E,2,FALSE)</f>
        <v>JPY</v>
      </c>
      <c r="M413" t="str">
        <f t="shared" si="6"/>
        <v>USD</v>
      </c>
      <c r="N413" s="51">
        <f>VLOOKUP($L413,TABLE!$I$3:$O$13,N$2,FALSE)/VLOOKUP($M413,TABLE!$I$3:$O$13,N$2,FALSE)*F413</f>
        <v>-0.90836710889042038</v>
      </c>
      <c r="O413" s="51">
        <f>VLOOKUP($L413,TABLE!$I$3:$O$13,O$2,FALSE)/VLOOKUP($M413,TABLE!$I$3:$O$13,O$2,FALSE)*G413</f>
        <v>0.9034419637498502</v>
      </c>
      <c r="P413" s="51">
        <f>VLOOKUP($L413,TABLE!$I$3:$O$13,P$2,FALSE)/VLOOKUP($M413,TABLE!$I$3:$O$13,P$2,FALSE)*H413</f>
        <v>1.8536407399509542</v>
      </c>
      <c r="Q413" s="51">
        <f>VLOOKUP($L413,TABLE!$I$3:$O$13,Q$2,FALSE)/VLOOKUP($M413,TABLE!$I$3:$O$13,Q$2,FALSE)*I413</f>
        <v>1.0365529728407146</v>
      </c>
      <c r="R413" s="51">
        <f>VLOOKUP($L413,TABLE!$I$3:$O$13,R$2,FALSE)/VLOOKUP($M413,TABLE!$I$3:$O$13,R$2,FALSE)*J413</f>
        <v>1.7317998804746861</v>
      </c>
    </row>
    <row r="414" spans="2:18">
      <c r="B414" t="s">
        <v>47</v>
      </c>
      <c r="C414" t="s">
        <v>124</v>
      </c>
      <c r="D414" t="s">
        <v>50</v>
      </c>
      <c r="E414" t="s">
        <v>620</v>
      </c>
      <c r="F414" s="51">
        <v>239.01</v>
      </c>
      <c r="G414" s="51">
        <v>374.22</v>
      </c>
      <c r="H414" s="51">
        <v>381.16</v>
      </c>
      <c r="I414" s="51">
        <v>340.67</v>
      </c>
      <c r="J414" s="51">
        <v>443.85</v>
      </c>
      <c r="L414" t="str">
        <f>VLOOKUP(B414,TABLE!D:E,2,FALSE)</f>
        <v>JPY</v>
      </c>
      <c r="M414" t="str">
        <f t="shared" si="6"/>
        <v>USD</v>
      </c>
      <c r="N414" s="51">
        <f>VLOOKUP($L414,TABLE!$I$3:$O$13,N$2,FALSE)/VLOOKUP($M414,TABLE!$I$3:$O$13,N$2,FALSE)*F414</f>
        <v>2.581862560303239</v>
      </c>
      <c r="O414" s="51">
        <f>VLOOKUP($L414,TABLE!$I$3:$O$13,O$2,FALSE)/VLOOKUP($M414,TABLE!$I$3:$O$13,O$2,FALSE)*G414</f>
        <v>4.6041951746489023</v>
      </c>
      <c r="P414" s="51">
        <f>VLOOKUP($L414,TABLE!$I$3:$O$13,P$2,FALSE)/VLOOKUP($M414,TABLE!$I$3:$O$13,P$2,FALSE)*H414</f>
        <v>4.9397588229022285</v>
      </c>
      <c r="Q414" s="51">
        <f>VLOOKUP($L414,TABLE!$I$3:$O$13,Q$2,FALSE)/VLOOKUP($M414,TABLE!$I$3:$O$13,Q$2,FALSE)*I414</f>
        <v>3.954339319794471</v>
      </c>
      <c r="R414" s="51">
        <f>VLOOKUP($L414,TABLE!$I$3:$O$13,R$2,FALSE)/VLOOKUP($M414,TABLE!$I$3:$O$13,R$2,FALSE)*J414</f>
        <v>4.2308420131477842</v>
      </c>
    </row>
    <row r="415" spans="2:18">
      <c r="B415" t="s">
        <v>47</v>
      </c>
      <c r="C415" t="s">
        <v>124</v>
      </c>
      <c r="D415" t="s">
        <v>44</v>
      </c>
      <c r="E415" t="s">
        <v>621</v>
      </c>
      <c r="F415" s="51">
        <v>5.59</v>
      </c>
      <c r="G415" s="51">
        <v>5.94</v>
      </c>
      <c r="H415" s="51">
        <v>5.21</v>
      </c>
      <c r="I415" s="51">
        <v>6.6</v>
      </c>
      <c r="J415" s="51">
        <v>6.68</v>
      </c>
      <c r="L415" t="str">
        <f>VLOOKUP(B415,TABLE!D:E,2,FALSE)</f>
        <v>JPY</v>
      </c>
      <c r="M415" t="str">
        <f t="shared" si="6"/>
        <v>USD</v>
      </c>
      <c r="N415" s="51">
        <f>VLOOKUP($L415,TABLE!$I$3:$O$13,N$2,FALSE)/VLOOKUP($M415,TABLE!$I$3:$O$13,N$2,FALSE)*F415</f>
        <v>6.0384970135538708E-2</v>
      </c>
      <c r="O415" s="51">
        <f>VLOOKUP($L415,TABLE!$I$3:$O$13,O$2,FALSE)/VLOOKUP($M415,TABLE!$I$3:$O$13,O$2,FALSE)*G415</f>
        <v>7.3082463089665123E-2</v>
      </c>
      <c r="P415" s="51">
        <f>VLOOKUP($L415,TABLE!$I$3:$O$13,P$2,FALSE)/VLOOKUP($M415,TABLE!$I$3:$O$13,P$2,FALSE)*H415</f>
        <v>6.752057788676831E-2</v>
      </c>
      <c r="Q415" s="51">
        <f>VLOOKUP($L415,TABLE!$I$3:$O$13,Q$2,FALSE)/VLOOKUP($M415,TABLE!$I$3:$O$13,Q$2,FALSE)*I415</f>
        <v>7.6609738194274538E-2</v>
      </c>
      <c r="R415" s="51">
        <f>VLOOKUP($L415,TABLE!$I$3:$O$13,R$2,FALSE)/VLOOKUP($M415,TABLE!$I$3:$O$13,R$2,FALSE)*J415</f>
        <v>6.3674720396141027E-2</v>
      </c>
    </row>
    <row r="416" spans="2:18">
      <c r="B416" t="s">
        <v>47</v>
      </c>
      <c r="C416" t="s">
        <v>124</v>
      </c>
      <c r="D416" t="s">
        <v>42</v>
      </c>
      <c r="E416" t="s">
        <v>622</v>
      </c>
      <c r="F416" s="51">
        <v>11.05</v>
      </c>
      <c r="G416" s="51">
        <v>6.83</v>
      </c>
      <c r="H416" s="51">
        <v>7.85</v>
      </c>
      <c r="I416" s="51">
        <v>9.3699999999999992</v>
      </c>
      <c r="J416" s="51">
        <v>8.17</v>
      </c>
      <c r="L416" t="str">
        <f>VLOOKUP(B416,TABLE!D:E,2,FALSE)</f>
        <v>JPY</v>
      </c>
      <c r="M416" t="str">
        <f t="shared" si="6"/>
        <v>USD</v>
      </c>
      <c r="N416" s="51">
        <f>VLOOKUP($L416,TABLE!$I$3:$O$13,N$2,FALSE)/VLOOKUP($M416,TABLE!$I$3:$O$13,N$2,FALSE)*F416</f>
        <v>0.11936563864001838</v>
      </c>
      <c r="O416" s="51">
        <f>VLOOKUP($L416,TABLE!$I$3:$O$13,O$2,FALSE)/VLOOKUP($M416,TABLE!$I$3:$O$13,O$2,FALSE)*G416</f>
        <v>8.4032529108150289E-2</v>
      </c>
      <c r="P416" s="51">
        <f>VLOOKUP($L416,TABLE!$I$3:$O$13,P$2,FALSE)/VLOOKUP($M416,TABLE!$I$3:$O$13,P$2,FALSE)*H416</f>
        <v>0.10173445996374879</v>
      </c>
      <c r="Q416" s="51">
        <f>VLOOKUP($L416,TABLE!$I$3:$O$13,Q$2,FALSE)/VLOOKUP($M416,TABLE!$I$3:$O$13,Q$2,FALSE)*I416</f>
        <v>0.10876261316368976</v>
      </c>
      <c r="R416" s="51">
        <f>VLOOKUP($L416,TABLE!$I$3:$O$13,R$2,FALSE)/VLOOKUP($M416,TABLE!$I$3:$O$13,R$2,FALSE)*J416</f>
        <v>7.7877614616238364E-2</v>
      </c>
    </row>
    <row r="417" spans="2:18">
      <c r="B417" t="s">
        <v>47</v>
      </c>
      <c r="C417" t="s">
        <v>124</v>
      </c>
      <c r="D417" t="s">
        <v>145</v>
      </c>
      <c r="E417" t="s">
        <v>623</v>
      </c>
      <c r="F417" s="51"/>
      <c r="G417" s="51"/>
      <c r="H417" s="51"/>
      <c r="I417" s="51"/>
      <c r="J417" s="51"/>
      <c r="L417" t="str">
        <f>VLOOKUP(B417,TABLE!D:E,2,FALSE)</f>
        <v>JPY</v>
      </c>
      <c r="M417" t="str">
        <f t="shared" si="6"/>
        <v>USD</v>
      </c>
      <c r="N417" s="51">
        <f>VLOOKUP($L417,TABLE!$I$3:$O$13,N$2,FALSE)/VLOOKUP($M417,TABLE!$I$3:$O$13,N$2,FALSE)*F417</f>
        <v>0</v>
      </c>
      <c r="O417" s="51">
        <f>VLOOKUP($L417,TABLE!$I$3:$O$13,O$2,FALSE)/VLOOKUP($M417,TABLE!$I$3:$O$13,O$2,FALSE)*G417</f>
        <v>0</v>
      </c>
      <c r="P417" s="51">
        <f>VLOOKUP($L417,TABLE!$I$3:$O$13,P$2,FALSE)/VLOOKUP($M417,TABLE!$I$3:$O$13,P$2,FALSE)*H417</f>
        <v>0</v>
      </c>
      <c r="Q417" s="51">
        <f>VLOOKUP($L417,TABLE!$I$3:$O$13,Q$2,FALSE)/VLOOKUP($M417,TABLE!$I$3:$O$13,Q$2,FALSE)*I417</f>
        <v>0</v>
      </c>
      <c r="R417" s="51">
        <f>VLOOKUP($L417,TABLE!$I$3:$O$13,R$2,FALSE)/VLOOKUP($M417,TABLE!$I$3:$O$13,R$2,FALSE)*J417</f>
        <v>0</v>
      </c>
    </row>
    <row r="418" spans="2:18">
      <c r="B418" t="s">
        <v>47</v>
      </c>
      <c r="C418" t="s">
        <v>124</v>
      </c>
      <c r="D418" t="s">
        <v>36</v>
      </c>
      <c r="E418" t="s">
        <v>624</v>
      </c>
      <c r="F418" s="51">
        <v>567.21</v>
      </c>
      <c r="G418" s="51">
        <v>527.02</v>
      </c>
      <c r="H418" s="51">
        <v>539.21</v>
      </c>
      <c r="I418" s="51">
        <v>550.08000000000004</v>
      </c>
      <c r="J418" s="51">
        <v>610.59</v>
      </c>
      <c r="L418" t="str">
        <f>VLOOKUP(B418,TABLE!D:E,2,FALSE)</f>
        <v>JPY</v>
      </c>
      <c r="M418" t="str">
        <f t="shared" si="6"/>
        <v>USD</v>
      </c>
      <c r="N418" s="51">
        <f>VLOOKUP($L418,TABLE!$I$3:$O$13,N$2,FALSE)/VLOOKUP($M418,TABLE!$I$3:$O$13,N$2,FALSE)*F418</f>
        <v>6.1271840627153686</v>
      </c>
      <c r="O418" s="51">
        <f>VLOOKUP($L418,TABLE!$I$3:$O$13,O$2,FALSE)/VLOOKUP($M418,TABLE!$I$3:$O$13,O$2,FALSE)*G418</f>
        <v>6.4841615652382671</v>
      </c>
      <c r="P418" s="51">
        <f>VLOOKUP($L418,TABLE!$I$3:$O$13,P$2,FALSE)/VLOOKUP($M418,TABLE!$I$3:$O$13,P$2,FALSE)*H418</f>
        <v>6.9880558161850947</v>
      </c>
      <c r="Q418" s="51">
        <f>VLOOKUP($L418,TABLE!$I$3:$O$13,Q$2,FALSE)/VLOOKUP($M418,TABLE!$I$3:$O$13,Q$2,FALSE)*I418</f>
        <v>6.3850734524100821</v>
      </c>
      <c r="R418" s="51">
        <f>VLOOKUP($L418,TABLE!$I$3:$O$13,R$2,FALSE)/VLOOKUP($M418,TABLE!$I$3:$O$13,R$2,FALSE)*J418</f>
        <v>5.8202316656706223</v>
      </c>
    </row>
    <row r="419" spans="2:18">
      <c r="B419" t="s">
        <v>47</v>
      </c>
      <c r="C419" t="s">
        <v>124</v>
      </c>
      <c r="D419" t="s">
        <v>38</v>
      </c>
      <c r="E419" t="s">
        <v>625</v>
      </c>
      <c r="F419" s="51">
        <v>297.14999999999998</v>
      </c>
      <c r="G419" s="51">
        <v>270.08</v>
      </c>
      <c r="H419" s="51">
        <v>290.07</v>
      </c>
      <c r="I419" s="51">
        <v>298.36</v>
      </c>
      <c r="J419" s="51">
        <v>335.46</v>
      </c>
      <c r="L419" t="str">
        <f>VLOOKUP(B419,TABLE!D:E,2,FALSE)</f>
        <v>JPY</v>
      </c>
      <c r="M419" t="str">
        <f t="shared" si="6"/>
        <v>USD</v>
      </c>
      <c r="N419" s="51">
        <f>VLOOKUP($L419,TABLE!$I$3:$O$13,N$2,FALSE)/VLOOKUP($M419,TABLE!$I$3:$O$13,N$2,FALSE)*F419</f>
        <v>3.2099094589937969</v>
      </c>
      <c r="O419" s="51">
        <f>VLOOKUP($L419,TABLE!$I$3:$O$13,O$2,FALSE)/VLOOKUP($M419,TABLE!$I$3:$O$13,O$2,FALSE)*G419</f>
        <v>3.3229144160364905</v>
      </c>
      <c r="P419" s="51">
        <f>VLOOKUP($L419,TABLE!$I$3:$O$13,P$2,FALSE)/VLOOKUP($M419,TABLE!$I$3:$O$13,P$2,FALSE)*H419</f>
        <v>3.7592502932082308</v>
      </c>
      <c r="Q419" s="51">
        <f>VLOOKUP($L419,TABLE!$I$3:$O$13,Q$2,FALSE)/VLOOKUP($M419,TABLE!$I$3:$O$13,Q$2,FALSE)*I419</f>
        <v>3.4632244678248112</v>
      </c>
      <c r="R419" s="51">
        <f>VLOOKUP($L419,TABLE!$I$3:$O$13,R$2,FALSE)/VLOOKUP($M419,TABLE!$I$3:$O$13,R$2,FALSE)*J419</f>
        <v>3.1976529497139925</v>
      </c>
    </row>
    <row r="420" spans="2:18">
      <c r="B420" t="s">
        <v>47</v>
      </c>
      <c r="C420" t="s">
        <v>124</v>
      </c>
      <c r="D420" t="s">
        <v>40</v>
      </c>
      <c r="E420" t="s">
        <v>626</v>
      </c>
      <c r="F420" s="51">
        <v>270.06</v>
      </c>
      <c r="G420" s="51">
        <v>256.94</v>
      </c>
      <c r="H420" s="51">
        <v>249.14</v>
      </c>
      <c r="I420" s="51">
        <v>251.72</v>
      </c>
      <c r="J420" s="51">
        <v>275.13</v>
      </c>
      <c r="L420" t="str">
        <f>VLOOKUP(B420,TABLE!D:E,2,FALSE)</f>
        <v>JPY</v>
      </c>
      <c r="M420" t="str">
        <f t="shared" si="6"/>
        <v>USD</v>
      </c>
      <c r="N420" s="51">
        <f>VLOOKUP($L420,TABLE!$I$3:$O$13,N$2,FALSE)/VLOOKUP($M420,TABLE!$I$3:$O$13,N$2,FALSE)*F420</f>
        <v>2.9172746037215713</v>
      </c>
      <c r="O420" s="51">
        <f>VLOOKUP($L420,TABLE!$I$3:$O$13,O$2,FALSE)/VLOOKUP($M420,TABLE!$I$3:$O$13,O$2,FALSE)*G420</f>
        <v>3.1612471492017771</v>
      </c>
      <c r="P420" s="51">
        <f>VLOOKUP($L420,TABLE!$I$3:$O$13,P$2,FALSE)/VLOOKUP($M420,TABLE!$I$3:$O$13,P$2,FALSE)*H420</f>
        <v>3.2288055229768626</v>
      </c>
      <c r="Q420" s="51">
        <f>VLOOKUP($L420,TABLE!$I$3:$O$13,Q$2,FALSE)/VLOOKUP($M420,TABLE!$I$3:$O$13,Q$2,FALSE)*I420</f>
        <v>2.9218489845852709</v>
      </c>
      <c r="R420" s="51">
        <f>VLOOKUP($L420,TABLE!$I$3:$O$13,R$2,FALSE)/VLOOKUP($M420,TABLE!$I$3:$O$13,R$2,FALSE)*J420</f>
        <v>2.6225787159566289</v>
      </c>
    </row>
    <row r="421" spans="2:18">
      <c r="B421" t="s">
        <v>47</v>
      </c>
      <c r="C421" t="s">
        <v>124</v>
      </c>
      <c r="D421" t="s">
        <v>46</v>
      </c>
      <c r="E421" t="s">
        <v>627</v>
      </c>
      <c r="F421" s="51">
        <v>-99.28</v>
      </c>
      <c r="G421" s="51">
        <v>146.91</v>
      </c>
      <c r="H421" s="51">
        <v>211.67</v>
      </c>
      <c r="I421" s="51">
        <v>163.47999999999999</v>
      </c>
      <c r="J421" s="51">
        <v>281.89</v>
      </c>
      <c r="L421" t="str">
        <f>VLOOKUP(B421,TABLE!D:E,2,FALSE)</f>
        <v>JPY</v>
      </c>
      <c r="M421" t="str">
        <f t="shared" si="6"/>
        <v>USD</v>
      </c>
      <c r="N421" s="51">
        <f>VLOOKUP($L421,TABLE!$I$3:$O$13,N$2,FALSE)/VLOOKUP($M421,TABLE!$I$3:$O$13,N$2,FALSE)*F421</f>
        <v>-1.0724543533195496</v>
      </c>
      <c r="O421" s="51">
        <f>VLOOKUP($L421,TABLE!$I$3:$O$13,O$2,FALSE)/VLOOKUP($M421,TABLE!$I$3:$O$13,O$2,FALSE)*G421</f>
        <v>1.8074990997479297</v>
      </c>
      <c r="P421" s="51">
        <f>VLOOKUP($L421,TABLE!$I$3:$O$13,P$2,FALSE)/VLOOKUP($M421,TABLE!$I$3:$O$13,P$2,FALSE)*H421</f>
        <v>2.7432016739524467</v>
      </c>
      <c r="Q421" s="51">
        <f>VLOOKUP($L421,TABLE!$I$3:$O$13,Q$2,FALSE)/VLOOKUP($M421,TABLE!$I$3:$O$13,Q$2,FALSE)*I421</f>
        <v>1.8976000000000002</v>
      </c>
      <c r="R421" s="51">
        <f>VLOOKUP($L421,TABLE!$I$3:$O$13,R$2,FALSE)/VLOOKUP($M421,TABLE!$I$3:$O$13,R$2,FALSE)*J421</f>
        <v>2.6870160078545204</v>
      </c>
    </row>
    <row r="422" spans="2:18">
      <c r="B422" t="s">
        <v>49</v>
      </c>
      <c r="C422" t="s">
        <v>124</v>
      </c>
      <c r="D422" t="s">
        <v>9</v>
      </c>
      <c r="E422" t="s">
        <v>628</v>
      </c>
      <c r="F422" s="51">
        <v>0.74480999999999997</v>
      </c>
      <c r="G422" s="51">
        <v>1.03</v>
      </c>
      <c r="H422" s="51">
        <v>0.81311999999999995</v>
      </c>
      <c r="I422" s="51">
        <v>0.92107000000000006</v>
      </c>
      <c r="J422" s="51">
        <v>0.60891999999999991</v>
      </c>
      <c r="L422" t="str">
        <f>VLOOKUP(B422,TABLE!D:E,2,FALSE)</f>
        <v>USD</v>
      </c>
      <c r="M422" t="str">
        <f t="shared" si="6"/>
        <v>USD</v>
      </c>
      <c r="N422" s="51">
        <f>VLOOKUP($L422,TABLE!$I$3:$O$13,N$2,FALSE)/VLOOKUP($M422,TABLE!$I$3:$O$13,N$2,FALSE)*F422</f>
        <v>0.74480999999999997</v>
      </c>
      <c r="O422" s="51">
        <f>VLOOKUP($L422,TABLE!$I$3:$O$13,O$2,FALSE)/VLOOKUP($M422,TABLE!$I$3:$O$13,O$2,FALSE)*G422</f>
        <v>1.03</v>
      </c>
      <c r="P422" s="51">
        <f>VLOOKUP($L422,TABLE!$I$3:$O$13,P$2,FALSE)/VLOOKUP($M422,TABLE!$I$3:$O$13,P$2,FALSE)*H422</f>
        <v>0.81311999999999995</v>
      </c>
      <c r="Q422" s="51">
        <f>VLOOKUP($L422,TABLE!$I$3:$O$13,Q$2,FALSE)/VLOOKUP($M422,TABLE!$I$3:$O$13,Q$2,FALSE)*I422</f>
        <v>0.92107000000000006</v>
      </c>
      <c r="R422" s="51">
        <f>VLOOKUP($L422,TABLE!$I$3:$O$13,R$2,FALSE)/VLOOKUP($M422,TABLE!$I$3:$O$13,R$2,FALSE)*J422</f>
        <v>0.60891999999999991</v>
      </c>
    </row>
    <row r="423" spans="2:18">
      <c r="B423" t="s">
        <v>49</v>
      </c>
      <c r="C423" t="s">
        <v>124</v>
      </c>
      <c r="D423" t="s">
        <v>11</v>
      </c>
      <c r="E423" t="s">
        <v>629</v>
      </c>
      <c r="F423" s="51">
        <v>0.34573000000000004</v>
      </c>
      <c r="G423" s="51">
        <v>0.38800000000000001</v>
      </c>
      <c r="H423" s="51">
        <v>0.39867000000000002</v>
      </c>
      <c r="I423" s="51">
        <v>0.39873999999999998</v>
      </c>
      <c r="J423" s="51">
        <v>0.42266000000000004</v>
      </c>
      <c r="L423" t="str">
        <f>VLOOKUP(B423,TABLE!D:E,2,FALSE)</f>
        <v>USD</v>
      </c>
      <c r="M423" t="str">
        <f t="shared" si="6"/>
        <v>USD</v>
      </c>
      <c r="N423" s="51">
        <f>VLOOKUP($L423,TABLE!$I$3:$O$13,N$2,FALSE)/VLOOKUP($M423,TABLE!$I$3:$O$13,N$2,FALSE)*F423</f>
        <v>0.34573000000000004</v>
      </c>
      <c r="O423" s="51">
        <f>VLOOKUP($L423,TABLE!$I$3:$O$13,O$2,FALSE)/VLOOKUP($M423,TABLE!$I$3:$O$13,O$2,FALSE)*G423</f>
        <v>0.38800000000000001</v>
      </c>
      <c r="P423" s="51">
        <f>VLOOKUP($L423,TABLE!$I$3:$O$13,P$2,FALSE)/VLOOKUP($M423,TABLE!$I$3:$O$13,P$2,FALSE)*H423</f>
        <v>0.39867000000000002</v>
      </c>
      <c r="Q423" s="51">
        <f>VLOOKUP($L423,TABLE!$I$3:$O$13,Q$2,FALSE)/VLOOKUP($M423,TABLE!$I$3:$O$13,Q$2,FALSE)*I423</f>
        <v>0.39873999999999998</v>
      </c>
      <c r="R423" s="51">
        <f>VLOOKUP($L423,TABLE!$I$3:$O$13,R$2,FALSE)/VLOOKUP($M423,TABLE!$I$3:$O$13,R$2,FALSE)*J423</f>
        <v>0.42266000000000004</v>
      </c>
    </row>
    <row r="424" spans="2:18">
      <c r="B424" t="s">
        <v>49</v>
      </c>
      <c r="C424" t="s">
        <v>124</v>
      </c>
      <c r="D424" t="s">
        <v>13</v>
      </c>
      <c r="E424" t="s">
        <v>630</v>
      </c>
      <c r="F424" s="51">
        <v>0.35120999999999997</v>
      </c>
      <c r="G424" s="51">
        <v>0.39810000000000001</v>
      </c>
      <c r="H424" s="51">
        <v>0.43351000000000001</v>
      </c>
      <c r="I424" s="51">
        <v>0.44836999999999999</v>
      </c>
      <c r="J424" s="51">
        <v>0.50129000000000001</v>
      </c>
      <c r="L424" t="str">
        <f>VLOOKUP(B424,TABLE!D:E,2,FALSE)</f>
        <v>USD</v>
      </c>
      <c r="M424" t="str">
        <f t="shared" si="6"/>
        <v>USD</v>
      </c>
      <c r="N424" s="51">
        <f>VLOOKUP($L424,TABLE!$I$3:$O$13,N$2,FALSE)/VLOOKUP($M424,TABLE!$I$3:$O$13,N$2,FALSE)*F424</f>
        <v>0.35120999999999997</v>
      </c>
      <c r="O424" s="51">
        <f>VLOOKUP($L424,TABLE!$I$3:$O$13,O$2,FALSE)/VLOOKUP($M424,TABLE!$I$3:$O$13,O$2,FALSE)*G424</f>
        <v>0.39810000000000001</v>
      </c>
      <c r="P424" s="51">
        <f>VLOOKUP($L424,TABLE!$I$3:$O$13,P$2,FALSE)/VLOOKUP($M424,TABLE!$I$3:$O$13,P$2,FALSE)*H424</f>
        <v>0.43351000000000001</v>
      </c>
      <c r="Q424" s="51">
        <f>VLOOKUP($L424,TABLE!$I$3:$O$13,Q$2,FALSE)/VLOOKUP($M424,TABLE!$I$3:$O$13,Q$2,FALSE)*I424</f>
        <v>0.44836999999999999</v>
      </c>
      <c r="R424" s="51">
        <f>VLOOKUP($L424,TABLE!$I$3:$O$13,R$2,FALSE)/VLOOKUP($M424,TABLE!$I$3:$O$13,R$2,FALSE)*J424</f>
        <v>0.50129000000000001</v>
      </c>
    </row>
    <row r="425" spans="2:18">
      <c r="B425" t="s">
        <v>49</v>
      </c>
      <c r="C425" t="s">
        <v>124</v>
      </c>
      <c r="D425" t="s">
        <v>15</v>
      </c>
      <c r="E425" t="s">
        <v>631</v>
      </c>
      <c r="F425" s="51">
        <v>1.56</v>
      </c>
      <c r="G425" s="51">
        <v>1.98</v>
      </c>
      <c r="H425" s="51">
        <v>1.8</v>
      </c>
      <c r="I425" s="51">
        <v>1.93</v>
      </c>
      <c r="J425" s="51">
        <v>1.75</v>
      </c>
      <c r="L425" t="str">
        <f>VLOOKUP(B425,TABLE!D:E,2,FALSE)</f>
        <v>USD</v>
      </c>
      <c r="M425" t="str">
        <f t="shared" si="6"/>
        <v>USD</v>
      </c>
      <c r="N425" s="51">
        <f>VLOOKUP($L425,TABLE!$I$3:$O$13,N$2,FALSE)/VLOOKUP($M425,TABLE!$I$3:$O$13,N$2,FALSE)*F425</f>
        <v>1.56</v>
      </c>
      <c r="O425" s="51">
        <f>VLOOKUP($L425,TABLE!$I$3:$O$13,O$2,FALSE)/VLOOKUP($M425,TABLE!$I$3:$O$13,O$2,FALSE)*G425</f>
        <v>1.98</v>
      </c>
      <c r="P425" s="51">
        <f>VLOOKUP($L425,TABLE!$I$3:$O$13,P$2,FALSE)/VLOOKUP($M425,TABLE!$I$3:$O$13,P$2,FALSE)*H425</f>
        <v>1.8</v>
      </c>
      <c r="Q425" s="51">
        <f>VLOOKUP($L425,TABLE!$I$3:$O$13,Q$2,FALSE)/VLOOKUP($M425,TABLE!$I$3:$O$13,Q$2,FALSE)*I425</f>
        <v>1.93</v>
      </c>
      <c r="R425" s="51">
        <f>VLOOKUP($L425,TABLE!$I$3:$O$13,R$2,FALSE)/VLOOKUP($M425,TABLE!$I$3:$O$13,R$2,FALSE)*J425</f>
        <v>1.75</v>
      </c>
    </row>
    <row r="426" spans="2:18">
      <c r="B426" t="s">
        <v>49</v>
      </c>
      <c r="C426" t="s">
        <v>124</v>
      </c>
      <c r="D426" t="s">
        <v>18</v>
      </c>
      <c r="E426" t="s">
        <v>632</v>
      </c>
      <c r="F426" s="51">
        <v>2.54</v>
      </c>
      <c r="G426" s="51">
        <v>3.06</v>
      </c>
      <c r="H426" s="51">
        <v>3.1</v>
      </c>
      <c r="I426" s="51">
        <v>3.44</v>
      </c>
      <c r="J426" s="51">
        <v>3.39</v>
      </c>
      <c r="L426" t="str">
        <f>VLOOKUP(B426,TABLE!D:E,2,FALSE)</f>
        <v>USD</v>
      </c>
      <c r="M426" t="str">
        <f t="shared" si="6"/>
        <v>USD</v>
      </c>
      <c r="N426" s="51">
        <f>VLOOKUP($L426,TABLE!$I$3:$O$13,N$2,FALSE)/VLOOKUP($M426,TABLE!$I$3:$O$13,N$2,FALSE)*F426</f>
        <v>2.54</v>
      </c>
      <c r="O426" s="51">
        <f>VLOOKUP($L426,TABLE!$I$3:$O$13,O$2,FALSE)/VLOOKUP($M426,TABLE!$I$3:$O$13,O$2,FALSE)*G426</f>
        <v>3.06</v>
      </c>
      <c r="P426" s="51">
        <f>VLOOKUP($L426,TABLE!$I$3:$O$13,P$2,FALSE)/VLOOKUP($M426,TABLE!$I$3:$O$13,P$2,FALSE)*H426</f>
        <v>3.1</v>
      </c>
      <c r="Q426" s="51">
        <f>VLOOKUP($L426,TABLE!$I$3:$O$13,Q$2,FALSE)/VLOOKUP($M426,TABLE!$I$3:$O$13,Q$2,FALSE)*I426</f>
        <v>3.44</v>
      </c>
      <c r="R426" s="51">
        <f>VLOOKUP($L426,TABLE!$I$3:$O$13,R$2,FALSE)/VLOOKUP($M426,TABLE!$I$3:$O$13,R$2,FALSE)*J426</f>
        <v>3.39</v>
      </c>
    </row>
    <row r="427" spans="2:18">
      <c r="B427" t="s">
        <v>49</v>
      </c>
      <c r="C427" t="s">
        <v>124</v>
      </c>
      <c r="D427" t="s">
        <v>21</v>
      </c>
      <c r="E427" t="s">
        <v>633</v>
      </c>
      <c r="F427" s="51">
        <v>0.41997000000000001</v>
      </c>
      <c r="G427" s="51">
        <v>0.66662999999999994</v>
      </c>
      <c r="H427" s="51">
        <v>0.45912000000000003</v>
      </c>
      <c r="I427" s="51">
        <v>0.46992</v>
      </c>
      <c r="J427" s="51">
        <v>0.48747000000000001</v>
      </c>
      <c r="L427" t="str">
        <f>VLOOKUP(B427,TABLE!D:E,2,FALSE)</f>
        <v>USD</v>
      </c>
      <c r="M427" t="str">
        <f t="shared" si="6"/>
        <v>USD</v>
      </c>
      <c r="N427" s="51">
        <f>VLOOKUP($L427,TABLE!$I$3:$O$13,N$2,FALSE)/VLOOKUP($M427,TABLE!$I$3:$O$13,N$2,FALSE)*F427</f>
        <v>0.41997000000000001</v>
      </c>
      <c r="O427" s="51">
        <f>VLOOKUP($L427,TABLE!$I$3:$O$13,O$2,FALSE)/VLOOKUP($M427,TABLE!$I$3:$O$13,O$2,FALSE)*G427</f>
        <v>0.66662999999999994</v>
      </c>
      <c r="P427" s="51">
        <f>VLOOKUP($L427,TABLE!$I$3:$O$13,P$2,FALSE)/VLOOKUP($M427,TABLE!$I$3:$O$13,P$2,FALSE)*H427</f>
        <v>0.45912000000000003</v>
      </c>
      <c r="Q427" s="51">
        <f>VLOOKUP($L427,TABLE!$I$3:$O$13,Q$2,FALSE)/VLOOKUP($M427,TABLE!$I$3:$O$13,Q$2,FALSE)*I427</f>
        <v>0.46992</v>
      </c>
      <c r="R427" s="51">
        <f>VLOOKUP($L427,TABLE!$I$3:$O$13,R$2,FALSE)/VLOOKUP($M427,TABLE!$I$3:$O$13,R$2,FALSE)*J427</f>
        <v>0.48747000000000001</v>
      </c>
    </row>
    <row r="428" spans="2:18">
      <c r="B428" t="s">
        <v>49</v>
      </c>
      <c r="C428" t="s">
        <v>124</v>
      </c>
      <c r="D428" t="s">
        <v>20</v>
      </c>
      <c r="E428" t="s">
        <v>634</v>
      </c>
      <c r="F428" s="51">
        <v>9.2989999999999989E-2</v>
      </c>
      <c r="G428" s="51">
        <v>0.11344</v>
      </c>
      <c r="H428" s="51">
        <v>0.12912000000000001</v>
      </c>
      <c r="I428" s="51">
        <v>0.13087000000000001</v>
      </c>
      <c r="J428" s="51">
        <v>0.14851</v>
      </c>
      <c r="L428" t="str">
        <f>VLOOKUP(B428,TABLE!D:E,2,FALSE)</f>
        <v>USD</v>
      </c>
      <c r="M428" t="str">
        <f t="shared" si="6"/>
        <v>USD</v>
      </c>
      <c r="N428" s="51">
        <f>VLOOKUP($L428,TABLE!$I$3:$O$13,N$2,FALSE)/VLOOKUP($M428,TABLE!$I$3:$O$13,N$2,FALSE)*F428</f>
        <v>9.2989999999999989E-2</v>
      </c>
      <c r="O428" s="51">
        <f>VLOOKUP($L428,TABLE!$I$3:$O$13,O$2,FALSE)/VLOOKUP($M428,TABLE!$I$3:$O$13,O$2,FALSE)*G428</f>
        <v>0.11344</v>
      </c>
      <c r="P428" s="51">
        <f>VLOOKUP($L428,TABLE!$I$3:$O$13,P$2,FALSE)/VLOOKUP($M428,TABLE!$I$3:$O$13,P$2,FALSE)*H428</f>
        <v>0.12912000000000001</v>
      </c>
      <c r="Q428" s="51">
        <f>VLOOKUP($L428,TABLE!$I$3:$O$13,Q$2,FALSE)/VLOOKUP($M428,TABLE!$I$3:$O$13,Q$2,FALSE)*I428</f>
        <v>0.13087000000000001</v>
      </c>
      <c r="R428" s="51">
        <f>VLOOKUP($L428,TABLE!$I$3:$O$13,R$2,FALSE)/VLOOKUP($M428,TABLE!$I$3:$O$13,R$2,FALSE)*J428</f>
        <v>0.14851</v>
      </c>
    </row>
    <row r="429" spans="2:18">
      <c r="B429" t="s">
        <v>49</v>
      </c>
      <c r="C429" t="s">
        <v>124</v>
      </c>
      <c r="D429" t="s">
        <v>25</v>
      </c>
      <c r="E429" t="s">
        <v>635</v>
      </c>
      <c r="F429" s="51">
        <v>1.28</v>
      </c>
      <c r="G429" s="51">
        <v>1.54</v>
      </c>
      <c r="H429" s="51">
        <v>1.74</v>
      </c>
      <c r="I429" s="51">
        <v>2.0099999999999998</v>
      </c>
      <c r="J429" s="51">
        <v>2.19</v>
      </c>
      <c r="L429" t="str">
        <f>VLOOKUP(B429,TABLE!D:E,2,FALSE)</f>
        <v>USD</v>
      </c>
      <c r="M429" t="str">
        <f t="shared" si="6"/>
        <v>USD</v>
      </c>
      <c r="N429" s="51">
        <f>VLOOKUP($L429,TABLE!$I$3:$O$13,N$2,FALSE)/VLOOKUP($M429,TABLE!$I$3:$O$13,N$2,FALSE)*F429</f>
        <v>1.28</v>
      </c>
      <c r="O429" s="51">
        <f>VLOOKUP($L429,TABLE!$I$3:$O$13,O$2,FALSE)/VLOOKUP($M429,TABLE!$I$3:$O$13,O$2,FALSE)*G429</f>
        <v>1.54</v>
      </c>
      <c r="P429" s="51">
        <f>VLOOKUP($L429,TABLE!$I$3:$O$13,P$2,FALSE)/VLOOKUP($M429,TABLE!$I$3:$O$13,P$2,FALSE)*H429</f>
        <v>1.74</v>
      </c>
      <c r="Q429" s="51">
        <f>VLOOKUP($L429,TABLE!$I$3:$O$13,Q$2,FALSE)/VLOOKUP($M429,TABLE!$I$3:$O$13,Q$2,FALSE)*I429</f>
        <v>2.0099999999999998</v>
      </c>
      <c r="R429" s="51">
        <f>VLOOKUP($L429,TABLE!$I$3:$O$13,R$2,FALSE)/VLOOKUP($M429,TABLE!$I$3:$O$13,R$2,FALSE)*J429</f>
        <v>2.19</v>
      </c>
    </row>
    <row r="430" spans="2:18">
      <c r="B430" t="s">
        <v>49</v>
      </c>
      <c r="C430" t="s">
        <v>124</v>
      </c>
      <c r="D430" t="s">
        <v>30</v>
      </c>
      <c r="E430" t="s">
        <v>636</v>
      </c>
      <c r="F430" s="51">
        <v>1.78</v>
      </c>
      <c r="G430" s="51">
        <v>1.93</v>
      </c>
      <c r="H430" s="51">
        <v>2.0699999999999998</v>
      </c>
      <c r="I430" s="51">
        <v>2.0699999999999998</v>
      </c>
      <c r="J430" s="51">
        <v>2.13</v>
      </c>
      <c r="L430" t="str">
        <f>VLOOKUP(B430,TABLE!D:E,2,FALSE)</f>
        <v>USD</v>
      </c>
      <c r="M430" t="str">
        <f t="shared" si="6"/>
        <v>USD</v>
      </c>
      <c r="N430" s="51">
        <f>VLOOKUP($L430,TABLE!$I$3:$O$13,N$2,FALSE)/VLOOKUP($M430,TABLE!$I$3:$O$13,N$2,FALSE)*F430</f>
        <v>1.78</v>
      </c>
      <c r="O430" s="51">
        <f>VLOOKUP($L430,TABLE!$I$3:$O$13,O$2,FALSE)/VLOOKUP($M430,TABLE!$I$3:$O$13,O$2,FALSE)*G430</f>
        <v>1.93</v>
      </c>
      <c r="P430" s="51">
        <f>VLOOKUP($L430,TABLE!$I$3:$O$13,P$2,FALSE)/VLOOKUP($M430,TABLE!$I$3:$O$13,P$2,FALSE)*H430</f>
        <v>2.0699999999999998</v>
      </c>
      <c r="Q430" s="51">
        <f>VLOOKUP($L430,TABLE!$I$3:$O$13,Q$2,FALSE)/VLOOKUP($M430,TABLE!$I$3:$O$13,Q$2,FALSE)*I430</f>
        <v>2.0699999999999998</v>
      </c>
      <c r="R430" s="51">
        <f>VLOOKUP($L430,TABLE!$I$3:$O$13,R$2,FALSE)/VLOOKUP($M430,TABLE!$I$3:$O$13,R$2,FALSE)*J430</f>
        <v>2.13</v>
      </c>
    </row>
    <row r="431" spans="2:18">
      <c r="B431" t="s">
        <v>49</v>
      </c>
      <c r="C431" t="s">
        <v>124</v>
      </c>
      <c r="D431" t="s">
        <v>34</v>
      </c>
      <c r="E431" t="s">
        <v>637</v>
      </c>
      <c r="F431" s="51">
        <v>0.99984000000000006</v>
      </c>
      <c r="G431" s="51">
        <v>1.0900000000000001</v>
      </c>
      <c r="H431" s="51">
        <v>1.18</v>
      </c>
      <c r="I431" s="51">
        <v>1.1499999999999999</v>
      </c>
      <c r="J431" s="51">
        <v>1.18</v>
      </c>
      <c r="L431" t="str">
        <f>VLOOKUP(B431,TABLE!D:E,2,FALSE)</f>
        <v>USD</v>
      </c>
      <c r="M431" t="str">
        <f t="shared" si="6"/>
        <v>USD</v>
      </c>
      <c r="N431" s="51">
        <f>VLOOKUP($L431,TABLE!$I$3:$O$13,N$2,FALSE)/VLOOKUP($M431,TABLE!$I$3:$O$13,N$2,FALSE)*F431</f>
        <v>0.99984000000000006</v>
      </c>
      <c r="O431" s="51">
        <f>VLOOKUP($L431,TABLE!$I$3:$O$13,O$2,FALSE)/VLOOKUP($M431,TABLE!$I$3:$O$13,O$2,FALSE)*G431</f>
        <v>1.0900000000000001</v>
      </c>
      <c r="P431" s="51">
        <f>VLOOKUP($L431,TABLE!$I$3:$O$13,P$2,FALSE)/VLOOKUP($M431,TABLE!$I$3:$O$13,P$2,FALSE)*H431</f>
        <v>1.18</v>
      </c>
      <c r="Q431" s="51">
        <f>VLOOKUP($L431,TABLE!$I$3:$O$13,Q$2,FALSE)/VLOOKUP($M431,TABLE!$I$3:$O$13,Q$2,FALSE)*I431</f>
        <v>1.1499999999999999</v>
      </c>
      <c r="R431" s="51">
        <f>VLOOKUP($L431,TABLE!$I$3:$O$13,R$2,FALSE)/VLOOKUP($M431,TABLE!$I$3:$O$13,R$2,FALSE)*J431</f>
        <v>1.18</v>
      </c>
    </row>
    <row r="432" spans="2:18">
      <c r="B432" t="s">
        <v>49</v>
      </c>
      <c r="C432" t="s">
        <v>124</v>
      </c>
      <c r="D432" t="s">
        <v>48</v>
      </c>
      <c r="E432" t="s">
        <v>638</v>
      </c>
      <c r="F432" s="51">
        <v>0.14462</v>
      </c>
      <c r="G432" s="51">
        <v>0.18549000000000002</v>
      </c>
      <c r="H432" s="51">
        <v>0.17821999999999999</v>
      </c>
      <c r="I432" s="51">
        <v>0.16378000000000001</v>
      </c>
      <c r="J432" s="51">
        <v>7.7790000000000012E-2</v>
      </c>
      <c r="L432" t="str">
        <f>VLOOKUP(B432,TABLE!D:E,2,FALSE)</f>
        <v>USD</v>
      </c>
      <c r="M432" t="str">
        <f t="shared" si="6"/>
        <v>USD</v>
      </c>
      <c r="N432" s="51">
        <f>VLOOKUP($L432,TABLE!$I$3:$O$13,N$2,FALSE)/VLOOKUP($M432,TABLE!$I$3:$O$13,N$2,FALSE)*F432</f>
        <v>0.14462</v>
      </c>
      <c r="O432" s="51">
        <f>VLOOKUP($L432,TABLE!$I$3:$O$13,O$2,FALSE)/VLOOKUP($M432,TABLE!$I$3:$O$13,O$2,FALSE)*G432</f>
        <v>0.18549000000000002</v>
      </c>
      <c r="P432" s="51">
        <f>VLOOKUP($L432,TABLE!$I$3:$O$13,P$2,FALSE)/VLOOKUP($M432,TABLE!$I$3:$O$13,P$2,FALSE)*H432</f>
        <v>0.17821999999999999</v>
      </c>
      <c r="Q432" s="51">
        <f>VLOOKUP($L432,TABLE!$I$3:$O$13,Q$2,FALSE)/VLOOKUP($M432,TABLE!$I$3:$O$13,Q$2,FALSE)*I432</f>
        <v>0.16378000000000001</v>
      </c>
      <c r="R432" s="51">
        <f>VLOOKUP($L432,TABLE!$I$3:$O$13,R$2,FALSE)/VLOOKUP($M432,TABLE!$I$3:$O$13,R$2,FALSE)*J432</f>
        <v>7.7790000000000012E-2</v>
      </c>
    </row>
    <row r="433" spans="2:18">
      <c r="B433" t="s">
        <v>49</v>
      </c>
      <c r="C433" t="s">
        <v>124</v>
      </c>
      <c r="D433" t="s">
        <v>50</v>
      </c>
      <c r="E433" t="s">
        <v>639</v>
      </c>
      <c r="F433" s="51">
        <v>0.33649000000000001</v>
      </c>
      <c r="G433" s="51">
        <v>0.39291000000000004</v>
      </c>
      <c r="H433" s="51">
        <v>0.41616000000000003</v>
      </c>
      <c r="I433" s="51">
        <v>0.3715</v>
      </c>
      <c r="J433" s="51">
        <v>0.34661000000000003</v>
      </c>
      <c r="L433" t="str">
        <f>VLOOKUP(B433,TABLE!D:E,2,FALSE)</f>
        <v>USD</v>
      </c>
      <c r="M433" t="str">
        <f t="shared" si="6"/>
        <v>USD</v>
      </c>
      <c r="N433" s="51">
        <f>VLOOKUP($L433,TABLE!$I$3:$O$13,N$2,FALSE)/VLOOKUP($M433,TABLE!$I$3:$O$13,N$2,FALSE)*F433</f>
        <v>0.33649000000000001</v>
      </c>
      <c r="O433" s="51">
        <f>VLOOKUP($L433,TABLE!$I$3:$O$13,O$2,FALSE)/VLOOKUP($M433,TABLE!$I$3:$O$13,O$2,FALSE)*G433</f>
        <v>0.39291000000000004</v>
      </c>
      <c r="P433" s="51">
        <f>VLOOKUP($L433,TABLE!$I$3:$O$13,P$2,FALSE)/VLOOKUP($M433,TABLE!$I$3:$O$13,P$2,FALSE)*H433</f>
        <v>0.41616000000000003</v>
      </c>
      <c r="Q433" s="51">
        <f>VLOOKUP($L433,TABLE!$I$3:$O$13,Q$2,FALSE)/VLOOKUP($M433,TABLE!$I$3:$O$13,Q$2,FALSE)*I433</f>
        <v>0.3715</v>
      </c>
      <c r="R433" s="51">
        <f>VLOOKUP($L433,TABLE!$I$3:$O$13,R$2,FALSE)/VLOOKUP($M433,TABLE!$I$3:$O$13,R$2,FALSE)*J433</f>
        <v>0.34661000000000003</v>
      </c>
    </row>
    <row r="434" spans="2:18">
      <c r="B434" t="s">
        <v>49</v>
      </c>
      <c r="C434" t="s">
        <v>124</v>
      </c>
      <c r="D434" t="s">
        <v>44</v>
      </c>
      <c r="E434" t="s">
        <v>640</v>
      </c>
      <c r="F434" s="51">
        <v>4.7020000000000006E-2</v>
      </c>
      <c r="G434" s="51">
        <v>6.3719999999999999E-2</v>
      </c>
      <c r="H434" s="51">
        <v>5.314E-2</v>
      </c>
      <c r="I434" s="51">
        <v>5.1110000000000003E-2</v>
      </c>
      <c r="J434" s="51">
        <v>5.6270000000000001E-2</v>
      </c>
      <c r="L434" t="str">
        <f>VLOOKUP(B434,TABLE!D:E,2,FALSE)</f>
        <v>USD</v>
      </c>
      <c r="M434" t="str">
        <f t="shared" si="6"/>
        <v>USD</v>
      </c>
      <c r="N434" s="51">
        <f>VLOOKUP($L434,TABLE!$I$3:$O$13,N$2,FALSE)/VLOOKUP($M434,TABLE!$I$3:$O$13,N$2,FALSE)*F434</f>
        <v>4.7020000000000006E-2</v>
      </c>
      <c r="O434" s="51">
        <f>VLOOKUP($L434,TABLE!$I$3:$O$13,O$2,FALSE)/VLOOKUP($M434,TABLE!$I$3:$O$13,O$2,FALSE)*G434</f>
        <v>6.3719999999999999E-2</v>
      </c>
      <c r="P434" s="51">
        <f>VLOOKUP($L434,TABLE!$I$3:$O$13,P$2,FALSE)/VLOOKUP($M434,TABLE!$I$3:$O$13,P$2,FALSE)*H434</f>
        <v>5.314E-2</v>
      </c>
      <c r="Q434" s="51">
        <f>VLOOKUP($L434,TABLE!$I$3:$O$13,Q$2,FALSE)/VLOOKUP($M434,TABLE!$I$3:$O$13,Q$2,FALSE)*I434</f>
        <v>5.1110000000000003E-2</v>
      </c>
      <c r="R434" s="51">
        <f>VLOOKUP($L434,TABLE!$I$3:$O$13,R$2,FALSE)/VLOOKUP($M434,TABLE!$I$3:$O$13,R$2,FALSE)*J434</f>
        <v>5.6270000000000001E-2</v>
      </c>
    </row>
    <row r="435" spans="2:18">
      <c r="B435" t="s">
        <v>49</v>
      </c>
      <c r="C435" t="s">
        <v>124</v>
      </c>
      <c r="D435" t="s">
        <v>42</v>
      </c>
      <c r="E435" t="s">
        <v>641</v>
      </c>
      <c r="F435" s="51">
        <v>5.7000000000000002E-3</v>
      </c>
      <c r="G435" s="51">
        <v>5.1999999999999998E-3</v>
      </c>
      <c r="H435" s="51">
        <v>8.199999999999999E-3</v>
      </c>
      <c r="I435" s="51">
        <v>1.14E-2</v>
      </c>
      <c r="J435" s="51">
        <v>0</v>
      </c>
      <c r="L435" t="str">
        <f>VLOOKUP(B435,TABLE!D:E,2,FALSE)</f>
        <v>USD</v>
      </c>
      <c r="M435" t="str">
        <f t="shared" si="6"/>
        <v>USD</v>
      </c>
      <c r="N435" s="51">
        <f>VLOOKUP($L435,TABLE!$I$3:$O$13,N$2,FALSE)/VLOOKUP($M435,TABLE!$I$3:$O$13,N$2,FALSE)*F435</f>
        <v>5.7000000000000002E-3</v>
      </c>
      <c r="O435" s="51">
        <f>VLOOKUP($L435,TABLE!$I$3:$O$13,O$2,FALSE)/VLOOKUP($M435,TABLE!$I$3:$O$13,O$2,FALSE)*G435</f>
        <v>5.1999999999999998E-3</v>
      </c>
      <c r="P435" s="51">
        <f>VLOOKUP($L435,TABLE!$I$3:$O$13,P$2,FALSE)/VLOOKUP($M435,TABLE!$I$3:$O$13,P$2,FALSE)*H435</f>
        <v>8.199999999999999E-3</v>
      </c>
      <c r="Q435" s="51">
        <f>VLOOKUP($L435,TABLE!$I$3:$O$13,Q$2,FALSE)/VLOOKUP($M435,TABLE!$I$3:$O$13,Q$2,FALSE)*I435</f>
        <v>1.14E-2</v>
      </c>
      <c r="R435" s="51">
        <f>VLOOKUP($L435,TABLE!$I$3:$O$13,R$2,FALSE)/VLOOKUP($M435,TABLE!$I$3:$O$13,R$2,FALSE)*J435</f>
        <v>0</v>
      </c>
    </row>
    <row r="436" spans="2:18">
      <c r="B436" t="s">
        <v>49</v>
      </c>
      <c r="C436" t="s">
        <v>124</v>
      </c>
      <c r="D436" t="s">
        <v>145</v>
      </c>
      <c r="E436" t="s">
        <v>642</v>
      </c>
      <c r="F436" s="51"/>
      <c r="G436" s="51"/>
      <c r="H436" s="51"/>
      <c r="I436" s="51"/>
      <c r="J436" s="51"/>
      <c r="L436" t="str">
        <f>VLOOKUP(B436,TABLE!D:E,2,FALSE)</f>
        <v>USD</v>
      </c>
      <c r="M436" t="str">
        <f t="shared" si="6"/>
        <v>USD</v>
      </c>
      <c r="N436" s="51">
        <f>VLOOKUP($L436,TABLE!$I$3:$O$13,N$2,FALSE)/VLOOKUP($M436,TABLE!$I$3:$O$13,N$2,FALSE)*F436</f>
        <v>0</v>
      </c>
      <c r="O436" s="51">
        <f>VLOOKUP($L436,TABLE!$I$3:$O$13,O$2,FALSE)/VLOOKUP($M436,TABLE!$I$3:$O$13,O$2,FALSE)*G436</f>
        <v>0</v>
      </c>
      <c r="P436" s="51">
        <f>VLOOKUP($L436,TABLE!$I$3:$O$13,P$2,FALSE)/VLOOKUP($M436,TABLE!$I$3:$O$13,P$2,FALSE)*H436</f>
        <v>0</v>
      </c>
      <c r="Q436" s="51">
        <f>VLOOKUP($L436,TABLE!$I$3:$O$13,Q$2,FALSE)/VLOOKUP($M436,TABLE!$I$3:$O$13,Q$2,FALSE)*I436</f>
        <v>0</v>
      </c>
      <c r="R436" s="51">
        <f>VLOOKUP($L436,TABLE!$I$3:$O$13,R$2,FALSE)/VLOOKUP($M436,TABLE!$I$3:$O$13,R$2,FALSE)*J436</f>
        <v>0</v>
      </c>
    </row>
    <row r="437" spans="2:18">
      <c r="B437" t="s">
        <v>49</v>
      </c>
      <c r="C437" t="s">
        <v>124</v>
      </c>
      <c r="D437" t="s">
        <v>36</v>
      </c>
      <c r="E437" t="s">
        <v>643</v>
      </c>
      <c r="F437" s="51">
        <v>0.76505000000000001</v>
      </c>
      <c r="G437" s="51">
        <v>0.80747999999999998</v>
      </c>
      <c r="H437" s="51">
        <v>0.88273000000000001</v>
      </c>
      <c r="I437" s="51">
        <v>0.91303999999999996</v>
      </c>
      <c r="J437" s="51">
        <v>0.97902</v>
      </c>
      <c r="L437" t="str">
        <f>VLOOKUP(B437,TABLE!D:E,2,FALSE)</f>
        <v>USD</v>
      </c>
      <c r="M437" t="str">
        <f t="shared" si="6"/>
        <v>USD</v>
      </c>
      <c r="N437" s="51">
        <f>VLOOKUP($L437,TABLE!$I$3:$O$13,N$2,FALSE)/VLOOKUP($M437,TABLE!$I$3:$O$13,N$2,FALSE)*F437</f>
        <v>0.76505000000000001</v>
      </c>
      <c r="O437" s="51">
        <f>VLOOKUP($L437,TABLE!$I$3:$O$13,O$2,FALSE)/VLOOKUP($M437,TABLE!$I$3:$O$13,O$2,FALSE)*G437</f>
        <v>0.80747999999999998</v>
      </c>
      <c r="P437" s="51">
        <f>VLOOKUP($L437,TABLE!$I$3:$O$13,P$2,FALSE)/VLOOKUP($M437,TABLE!$I$3:$O$13,P$2,FALSE)*H437</f>
        <v>0.88273000000000001</v>
      </c>
      <c r="Q437" s="51">
        <f>VLOOKUP($L437,TABLE!$I$3:$O$13,Q$2,FALSE)/VLOOKUP($M437,TABLE!$I$3:$O$13,Q$2,FALSE)*I437</f>
        <v>0.91303999999999996</v>
      </c>
      <c r="R437" s="51">
        <f>VLOOKUP($L437,TABLE!$I$3:$O$13,R$2,FALSE)/VLOOKUP($M437,TABLE!$I$3:$O$13,R$2,FALSE)*J437</f>
        <v>0.97902</v>
      </c>
    </row>
    <row r="438" spans="2:18">
      <c r="B438" t="s">
        <v>49</v>
      </c>
      <c r="C438" t="s">
        <v>124</v>
      </c>
      <c r="D438" t="s">
        <v>38</v>
      </c>
      <c r="E438" t="s">
        <v>644</v>
      </c>
      <c r="F438" s="51">
        <v>0.16359000000000001</v>
      </c>
      <c r="G438" s="51">
        <v>0.17227000000000001</v>
      </c>
      <c r="H438" s="51">
        <v>0.18643999999999999</v>
      </c>
      <c r="I438" s="51">
        <v>0.21403999999999998</v>
      </c>
      <c r="J438" s="51">
        <v>0.21095</v>
      </c>
      <c r="L438" t="str">
        <f>VLOOKUP(B438,TABLE!D:E,2,FALSE)</f>
        <v>USD</v>
      </c>
      <c r="M438" t="str">
        <f t="shared" si="6"/>
        <v>USD</v>
      </c>
      <c r="N438" s="51">
        <f>VLOOKUP($L438,TABLE!$I$3:$O$13,N$2,FALSE)/VLOOKUP($M438,TABLE!$I$3:$O$13,N$2,FALSE)*F438</f>
        <v>0.16359000000000001</v>
      </c>
      <c r="O438" s="51">
        <f>VLOOKUP($L438,TABLE!$I$3:$O$13,O$2,FALSE)/VLOOKUP($M438,TABLE!$I$3:$O$13,O$2,FALSE)*G438</f>
        <v>0.17227000000000001</v>
      </c>
      <c r="P438" s="51">
        <f>VLOOKUP($L438,TABLE!$I$3:$O$13,P$2,FALSE)/VLOOKUP($M438,TABLE!$I$3:$O$13,P$2,FALSE)*H438</f>
        <v>0.18643999999999999</v>
      </c>
      <c r="Q438" s="51">
        <f>VLOOKUP($L438,TABLE!$I$3:$O$13,Q$2,FALSE)/VLOOKUP($M438,TABLE!$I$3:$O$13,Q$2,FALSE)*I438</f>
        <v>0.21403999999999998</v>
      </c>
      <c r="R438" s="51">
        <f>VLOOKUP($L438,TABLE!$I$3:$O$13,R$2,FALSE)/VLOOKUP($M438,TABLE!$I$3:$O$13,R$2,FALSE)*J438</f>
        <v>0.21095</v>
      </c>
    </row>
    <row r="439" spans="2:18">
      <c r="B439" t="s">
        <v>49</v>
      </c>
      <c r="C439" t="s">
        <v>124</v>
      </c>
      <c r="D439" t="s">
        <v>40</v>
      </c>
      <c r="E439" t="s">
        <v>645</v>
      </c>
      <c r="F439" s="51">
        <v>0.60147000000000006</v>
      </c>
      <c r="G439" s="51">
        <v>0.63521000000000005</v>
      </c>
      <c r="H439" s="51">
        <v>0.69628999999999996</v>
      </c>
      <c r="I439" s="51">
        <v>0.69899999999999995</v>
      </c>
      <c r="J439" s="51">
        <v>0.76807000000000003</v>
      </c>
      <c r="L439" t="str">
        <f>VLOOKUP(B439,TABLE!D:E,2,FALSE)</f>
        <v>USD</v>
      </c>
      <c r="M439" t="str">
        <f t="shared" si="6"/>
        <v>USD</v>
      </c>
      <c r="N439" s="51">
        <f>VLOOKUP($L439,TABLE!$I$3:$O$13,N$2,FALSE)/VLOOKUP($M439,TABLE!$I$3:$O$13,N$2,FALSE)*F439</f>
        <v>0.60147000000000006</v>
      </c>
      <c r="O439" s="51">
        <f>VLOOKUP($L439,TABLE!$I$3:$O$13,O$2,FALSE)/VLOOKUP($M439,TABLE!$I$3:$O$13,O$2,FALSE)*G439</f>
        <v>0.63521000000000005</v>
      </c>
      <c r="P439" s="51">
        <f>VLOOKUP($L439,TABLE!$I$3:$O$13,P$2,FALSE)/VLOOKUP($M439,TABLE!$I$3:$O$13,P$2,FALSE)*H439</f>
        <v>0.69628999999999996</v>
      </c>
      <c r="Q439" s="51">
        <f>VLOOKUP($L439,TABLE!$I$3:$O$13,Q$2,FALSE)/VLOOKUP($M439,TABLE!$I$3:$O$13,Q$2,FALSE)*I439</f>
        <v>0.69899999999999995</v>
      </c>
      <c r="R439" s="51">
        <f>VLOOKUP($L439,TABLE!$I$3:$O$13,R$2,FALSE)/VLOOKUP($M439,TABLE!$I$3:$O$13,R$2,FALSE)*J439</f>
        <v>0.76807000000000003</v>
      </c>
    </row>
    <row r="440" spans="2:18">
      <c r="B440" t="s">
        <v>49</v>
      </c>
      <c r="C440" t="s">
        <v>124</v>
      </c>
      <c r="D440" t="s">
        <v>46</v>
      </c>
      <c r="E440" t="s">
        <v>646</v>
      </c>
      <c r="F440" s="51">
        <v>0.18583000000000002</v>
      </c>
      <c r="G440" s="51">
        <v>0.22028</v>
      </c>
      <c r="H440" s="51">
        <v>0.23576</v>
      </c>
      <c r="I440" s="51">
        <v>0.22293000000000002</v>
      </c>
      <c r="J440" s="51">
        <v>0.11239</v>
      </c>
      <c r="L440" t="str">
        <f>VLOOKUP(B440,TABLE!D:E,2,FALSE)</f>
        <v>USD</v>
      </c>
      <c r="M440" t="str">
        <f t="shared" si="6"/>
        <v>USD</v>
      </c>
      <c r="N440" s="51">
        <f>VLOOKUP($L440,TABLE!$I$3:$O$13,N$2,FALSE)/VLOOKUP($M440,TABLE!$I$3:$O$13,N$2,FALSE)*F440</f>
        <v>0.18583000000000002</v>
      </c>
      <c r="O440" s="51">
        <f>VLOOKUP($L440,TABLE!$I$3:$O$13,O$2,FALSE)/VLOOKUP($M440,TABLE!$I$3:$O$13,O$2,FALSE)*G440</f>
        <v>0.22028</v>
      </c>
      <c r="P440" s="51">
        <f>VLOOKUP($L440,TABLE!$I$3:$O$13,P$2,FALSE)/VLOOKUP($M440,TABLE!$I$3:$O$13,P$2,FALSE)*H440</f>
        <v>0.23576</v>
      </c>
      <c r="Q440" s="51">
        <f>VLOOKUP($L440,TABLE!$I$3:$O$13,Q$2,FALSE)/VLOOKUP($M440,TABLE!$I$3:$O$13,Q$2,FALSE)*I440</f>
        <v>0.22293000000000002</v>
      </c>
      <c r="R440" s="51">
        <f>VLOOKUP($L440,TABLE!$I$3:$O$13,R$2,FALSE)/VLOOKUP($M440,TABLE!$I$3:$O$13,R$2,FALSE)*J440</f>
        <v>0.11239</v>
      </c>
    </row>
    <row r="441" spans="2:18">
      <c r="F441" s="51"/>
      <c r="G441" s="51"/>
      <c r="H441" s="51"/>
      <c r="I441" s="51"/>
      <c r="J441" s="51"/>
      <c r="N441" s="51"/>
      <c r="O441" s="51"/>
      <c r="P441" s="51"/>
      <c r="Q441" s="51"/>
      <c r="R441" s="51"/>
    </row>
    <row r="442" spans="2:18">
      <c r="F442" s="51"/>
      <c r="G442" s="51"/>
      <c r="H442" s="51"/>
      <c r="I442" s="51"/>
      <c r="J442" s="51"/>
      <c r="N442" s="51"/>
      <c r="O442" s="51"/>
      <c r="P442" s="51"/>
      <c r="Q442" s="51"/>
      <c r="R442" s="51"/>
    </row>
    <row r="443" spans="2:18">
      <c r="F443" s="51"/>
      <c r="G443" s="51"/>
      <c r="H443" s="51"/>
      <c r="I443" s="51"/>
      <c r="J443" s="51"/>
      <c r="N443" s="51"/>
      <c r="O443" s="51"/>
      <c r="P443" s="51"/>
      <c r="Q443" s="51"/>
      <c r="R443" s="51"/>
    </row>
    <row r="444" spans="2:18">
      <c r="F444" s="51"/>
      <c r="G444" s="51"/>
      <c r="H444" s="51"/>
      <c r="I444" s="51"/>
      <c r="J444" s="51"/>
      <c r="N444" s="51"/>
      <c r="O444" s="51"/>
      <c r="P444" s="51"/>
      <c r="Q444" s="51"/>
      <c r="R444" s="51"/>
    </row>
    <row r="445" spans="2:18">
      <c r="F445" s="51"/>
      <c r="G445" s="51"/>
      <c r="H445" s="51"/>
      <c r="I445" s="51"/>
      <c r="J445" s="51"/>
      <c r="N445" s="51"/>
      <c r="O445" s="51"/>
      <c r="P445" s="51"/>
      <c r="Q445" s="51"/>
      <c r="R445" s="51"/>
    </row>
    <row r="446" spans="2:18">
      <c r="F446" s="51"/>
      <c r="G446" s="51"/>
      <c r="H446" s="51"/>
      <c r="I446" s="51"/>
      <c r="J446" s="51"/>
      <c r="N446" s="51"/>
      <c r="O446" s="51"/>
      <c r="P446" s="51"/>
      <c r="Q446" s="51"/>
      <c r="R446" s="51"/>
    </row>
    <row r="447" spans="2:18">
      <c r="F447" s="51"/>
      <c r="G447" s="51"/>
      <c r="H447" s="51"/>
      <c r="I447" s="51"/>
      <c r="J447" s="51"/>
      <c r="N447" s="51"/>
      <c r="O447" s="51"/>
      <c r="P447" s="51"/>
      <c r="Q447" s="51"/>
      <c r="R447" s="51"/>
    </row>
    <row r="448" spans="2:18">
      <c r="F448" s="51"/>
      <c r="G448" s="51"/>
      <c r="H448" s="51"/>
      <c r="I448" s="51"/>
      <c r="J448" s="51"/>
      <c r="N448" s="51"/>
      <c r="O448" s="51"/>
      <c r="P448" s="51"/>
      <c r="Q448" s="51"/>
      <c r="R448" s="51"/>
    </row>
    <row r="449" spans="6:18">
      <c r="F449" s="51"/>
      <c r="G449" s="51"/>
      <c r="H449" s="51"/>
      <c r="I449" s="51"/>
      <c r="J449" s="51"/>
      <c r="N449" s="51"/>
      <c r="O449" s="51"/>
      <c r="P449" s="51"/>
      <c r="Q449" s="51"/>
      <c r="R449" s="51"/>
    </row>
    <row r="450" spans="6:18">
      <c r="F450" s="51"/>
      <c r="G450" s="51"/>
      <c r="H450" s="51"/>
      <c r="I450" s="51"/>
      <c r="J450" s="51"/>
      <c r="N450" s="51"/>
      <c r="O450" s="51"/>
      <c r="P450" s="51"/>
      <c r="Q450" s="51"/>
      <c r="R450" s="51"/>
    </row>
    <row r="451" spans="6:18">
      <c r="F451" s="51"/>
      <c r="G451" s="51"/>
      <c r="H451" s="51"/>
      <c r="I451" s="51"/>
      <c r="J451" s="51"/>
      <c r="N451" s="51"/>
      <c r="O451" s="51"/>
      <c r="P451" s="51"/>
      <c r="Q451" s="51"/>
      <c r="R451" s="51"/>
    </row>
    <row r="452" spans="6:18">
      <c r="F452" s="51"/>
      <c r="G452" s="51"/>
      <c r="H452" s="51"/>
      <c r="I452" s="51"/>
      <c r="J452" s="51"/>
      <c r="N452" s="51"/>
      <c r="O452" s="51"/>
      <c r="P452" s="51"/>
      <c r="Q452" s="51"/>
      <c r="R452" s="51"/>
    </row>
    <row r="453" spans="6:18">
      <c r="F453" s="51"/>
      <c r="G453" s="51"/>
      <c r="H453" s="51"/>
      <c r="I453" s="51"/>
      <c r="J453" s="51"/>
      <c r="N453" s="51"/>
      <c r="O453" s="51"/>
      <c r="P453" s="51"/>
      <c r="Q453" s="51"/>
      <c r="R453" s="51"/>
    </row>
    <row r="454" spans="6:18">
      <c r="F454" s="51"/>
      <c r="G454" s="51"/>
      <c r="H454" s="51"/>
      <c r="I454" s="51"/>
      <c r="J454" s="51"/>
      <c r="N454" s="51"/>
      <c r="O454" s="51"/>
      <c r="P454" s="51"/>
      <c r="Q454" s="51"/>
      <c r="R454" s="51"/>
    </row>
    <row r="455" spans="6:18">
      <c r="F455" s="51"/>
      <c r="G455" s="51"/>
      <c r="H455" s="51"/>
      <c r="I455" s="51"/>
      <c r="J455" s="51"/>
      <c r="N455" s="51"/>
      <c r="O455" s="51"/>
      <c r="P455" s="51"/>
      <c r="Q455" s="51"/>
      <c r="R455" s="51"/>
    </row>
    <row r="456" spans="6:18">
      <c r="F456" s="51"/>
      <c r="G456" s="51"/>
      <c r="H456" s="51"/>
      <c r="I456" s="51"/>
      <c r="J456" s="51"/>
      <c r="N456" s="51"/>
      <c r="O456" s="51"/>
      <c r="P456" s="51"/>
      <c r="Q456" s="51"/>
      <c r="R456" s="51"/>
    </row>
    <row r="457" spans="6:18">
      <c r="F457" s="51"/>
      <c r="G457" s="51"/>
      <c r="H457" s="51"/>
      <c r="I457" s="51"/>
      <c r="J457" s="51"/>
      <c r="N457" s="51"/>
      <c r="O457" s="51"/>
      <c r="P457" s="51"/>
      <c r="Q457" s="51"/>
      <c r="R457" s="51"/>
    </row>
    <row r="458" spans="6:18">
      <c r="F458" s="51"/>
      <c r="G458" s="51"/>
      <c r="H458" s="51"/>
      <c r="I458" s="51"/>
      <c r="J458" s="51"/>
      <c r="N458" s="51"/>
      <c r="O458" s="51"/>
      <c r="P458" s="51"/>
      <c r="Q458" s="51"/>
      <c r="R458" s="51"/>
    </row>
    <row r="459" spans="6:18">
      <c r="F459" s="51"/>
      <c r="G459" s="51"/>
      <c r="H459" s="51"/>
      <c r="I459" s="51"/>
      <c r="J459" s="51"/>
      <c r="N459" s="51"/>
      <c r="O459" s="51"/>
      <c r="P459" s="51"/>
      <c r="Q459" s="51"/>
      <c r="R459" s="51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Plan5"/>
  <dimension ref="D7:E18"/>
  <sheetViews>
    <sheetView workbookViewId="0">
      <selection activeCell="F24" sqref="F24"/>
    </sheetView>
  </sheetViews>
  <sheetFormatPr defaultRowHeight="15"/>
  <cols>
    <col min="4" max="4" width="36.28515625" customWidth="1"/>
  </cols>
  <sheetData>
    <row r="7" spans="4:5">
      <c r="D7" s="90" t="s">
        <v>104</v>
      </c>
    </row>
    <row r="8" spans="4:5">
      <c r="D8" s="89" t="s">
        <v>686</v>
      </c>
      <c r="E8" t="s">
        <v>104</v>
      </c>
    </row>
    <row r="10" spans="4:5">
      <c r="D10" s="10" t="s">
        <v>688</v>
      </c>
    </row>
    <row r="11" spans="4:5">
      <c r="D11" s="91" t="s">
        <v>689</v>
      </c>
    </row>
    <row r="12" spans="4:5">
      <c r="D12" s="44" t="s">
        <v>690</v>
      </c>
    </row>
    <row r="16" spans="4:5">
      <c r="D16" s="45" t="s">
        <v>691</v>
      </c>
    </row>
    <row r="17" spans="4:4">
      <c r="D17" s="94" t="s">
        <v>692</v>
      </c>
    </row>
    <row r="18" spans="4:4">
      <c r="D18" s="95" t="s">
        <v>693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Intervalos nomeados</vt:lpstr>
      </vt:variant>
      <vt:variant>
        <vt:i4>4</vt:i4>
      </vt:variant>
    </vt:vector>
  </HeadingPairs>
  <TitlesOfParts>
    <vt:vector size="12" baseType="lpstr">
      <vt:lpstr>Parameters</vt:lpstr>
      <vt:lpstr>1stPage</vt:lpstr>
      <vt:lpstr>Report#1</vt:lpstr>
      <vt:lpstr>Grafico</vt:lpstr>
      <vt:lpstr>Report#2</vt:lpstr>
      <vt:lpstr>TABLE</vt:lpstr>
      <vt:lpstr>DATA</vt:lpstr>
      <vt:lpstr>Plan2</vt:lpstr>
      <vt:lpstr>'1stPage'!Area_de_impressao</vt:lpstr>
      <vt:lpstr>Parameters!Area_de_impressao</vt:lpstr>
      <vt:lpstr>'Report#1'!Area_de_impressao</vt:lpstr>
      <vt:lpstr>'Report#2'!Area_de_impressao</vt:lpstr>
    </vt:vector>
  </TitlesOfParts>
  <Company>JBC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JBC</dc:creator>
  <cp:lastModifiedBy>dsktp</cp:lastModifiedBy>
  <cp:lastPrinted>2014-04-12T22:36:17Z</cp:lastPrinted>
  <dcterms:created xsi:type="dcterms:W3CDTF">2014-04-12T01:17:08Z</dcterms:created>
  <dcterms:modified xsi:type="dcterms:W3CDTF">2018-07-31T17:29:46Z</dcterms:modified>
</cp:coreProperties>
</file>